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firstSheet="0" activeTab="0"/>
  </bookViews>
  <sheets>
    <sheet name="B35" sheetId="1" state="visible" r:id="rId1"/>
    <sheet name="B36" sheetId="2" state="visible" r:id="rId2"/>
  </sheets>
  <definedNames>
    <definedName name="_xlnm._FilterDatabase" localSheetId="0" hidden="1">'B35'!$A$1:$L$346</definedName>
  </definedNames>
  <calcPr/>
</workbook>
</file>

<file path=xl/sharedStrings.xml><?xml version="1.0" encoding="utf-8"?>
<sst xmlns="http://schemas.openxmlformats.org/spreadsheetml/2006/main" count="315" uniqueCount="315">
  <si>
    <t xml:space="preserve">Culture ID</t>
  </si>
  <si>
    <t xml:space="preserve">Sample Date</t>
  </si>
  <si>
    <t xml:space="preserve">Inoculation Date</t>
  </si>
  <si>
    <t xml:space="preserve">Age (days)</t>
  </si>
  <si>
    <t xml:space="preserve">Loki mL-1</t>
  </si>
  <si>
    <t xml:space="preserve">Loki %</t>
  </si>
  <si>
    <t xml:space="preserve">DSV/Spiro mL-1</t>
  </si>
  <si>
    <t xml:space="preserve">DSV/Spiro %</t>
  </si>
  <si>
    <t xml:space="preserve">Cytogram Link</t>
  </si>
  <si>
    <t xml:space="preserve">Microscopy Link</t>
  </si>
  <si>
    <t xml:space="preserve">Microscopy URL</t>
  </si>
  <si>
    <t>Treatment</t>
  </si>
  <si>
    <t xml:space="preserve">Batch File</t>
  </si>
  <si>
    <t>811</t>
  </si>
  <si>
    <t/>
  </si>
  <si>
    <t>Batch_Analysis_15052026140518.pdf</t>
  </si>
  <si>
    <t>812</t>
  </si>
  <si>
    <t>813</t>
  </si>
  <si>
    <t>816</t>
  </si>
  <si>
    <t>817</t>
  </si>
  <si>
    <t>822</t>
  </si>
  <si>
    <t>823</t>
  </si>
  <si>
    <t>824</t>
  </si>
  <si>
    <t>833</t>
  </si>
  <si>
    <t>Batch_Analysis_10062026104625.pdf</t>
  </si>
  <si>
    <t>834</t>
  </si>
  <si>
    <t>835</t>
  </si>
  <si>
    <t>841</t>
  </si>
  <si>
    <t>Batch_Analysis_17062026152110.pdf</t>
  </si>
  <si>
    <t>842</t>
  </si>
  <si>
    <t>843</t>
  </si>
  <si>
    <t>844</t>
  </si>
  <si>
    <t>845</t>
  </si>
  <si>
    <t>850</t>
  </si>
  <si>
    <t>Batch_Analysis_19062026103002.pdf</t>
  </si>
  <si>
    <t>Batch_Analysis_01072026113912.pdf</t>
  </si>
  <si>
    <t>Batch_Analysis_10072026105548.pdf</t>
  </si>
  <si>
    <t>Batch_Analysis_17072026132826.pdf</t>
  </si>
  <si>
    <t>851</t>
  </si>
  <si>
    <t>852</t>
  </si>
  <si>
    <t>857</t>
  </si>
  <si>
    <t>858</t>
  </si>
  <si>
    <t>859</t>
  </si>
  <si>
    <t>860</t>
  </si>
  <si>
    <t>861</t>
  </si>
  <si>
    <t>869</t>
  </si>
  <si>
    <t>Batch_Analysis_06072026133256.pdf</t>
  </si>
  <si>
    <t>871</t>
  </si>
  <si>
    <t>880</t>
  </si>
  <si>
    <t>Batch_Analysis_05082026_B35.pdf</t>
  </si>
  <si>
    <t>881</t>
  </si>
  <si>
    <t>487Sa</t>
  </si>
  <si>
    <t>487Sb</t>
  </si>
  <si>
    <t>487Sc</t>
  </si>
  <si>
    <t>498Sa</t>
  </si>
  <si>
    <t>498Sb</t>
  </si>
  <si>
    <t>498Sb1</t>
  </si>
  <si>
    <t>498Sb2</t>
  </si>
  <si>
    <t>498Sc</t>
  </si>
  <si>
    <t>499S</t>
  </si>
  <si>
    <t>504S</t>
  </si>
  <si>
    <t>505S</t>
  </si>
  <si>
    <t>506S</t>
  </si>
  <si>
    <t>508Sa</t>
  </si>
  <si>
    <t>508Sb</t>
  </si>
  <si>
    <t>508Sc</t>
  </si>
  <si>
    <t>508Sd</t>
  </si>
  <si>
    <t>509Sa</t>
  </si>
  <si>
    <t>https://ucloud.univie.ac.at/index.php/f/1544896277</t>
  </si>
  <si>
    <t>509Sb</t>
  </si>
  <si>
    <t>511Sa</t>
  </si>
  <si>
    <t>511Sb</t>
  </si>
  <si>
    <t>Batch_Analysis_22072026_B35.pdf</t>
  </si>
  <si>
    <t>511Sc</t>
  </si>
  <si>
    <t>511Sd</t>
  </si>
  <si>
    <t>511Se</t>
  </si>
  <si>
    <t>515S</t>
  </si>
  <si>
    <t>516S</t>
  </si>
  <si>
    <t>Batch_Analysis_29072026_B35.pdf</t>
  </si>
  <si>
    <t>518Sa</t>
  </si>
  <si>
    <t>518Sb</t>
  </si>
  <si>
    <t>521S</t>
  </si>
  <si>
    <t>522S</t>
  </si>
  <si>
    <t>523Sa</t>
  </si>
  <si>
    <t>523Sb</t>
  </si>
  <si>
    <t>800a</t>
  </si>
  <si>
    <t>Batch_Analysis_05062026132346.pdf</t>
  </si>
  <si>
    <t>800b</t>
  </si>
  <si>
    <t>800c</t>
  </si>
  <si>
    <t>800d</t>
  </si>
  <si>
    <t>801a</t>
  </si>
  <si>
    <t>801b</t>
  </si>
  <si>
    <t>801c</t>
  </si>
  <si>
    <t>825a</t>
  </si>
  <si>
    <t>825b</t>
  </si>
  <si>
    <t>841a</t>
  </si>
  <si>
    <t>Batch_Analysis_05062026133431.pdf</t>
  </si>
  <si>
    <t>841b</t>
  </si>
  <si>
    <t>841c</t>
  </si>
  <si>
    <t>842K</t>
  </si>
  <si>
    <t>843a</t>
  </si>
  <si>
    <t>843b</t>
  </si>
  <si>
    <t>843c</t>
  </si>
  <si>
    <t>853a</t>
  </si>
  <si>
    <t/>
  </si>
  <si>
    <t>853a4h</t>
  </si>
  <si>
    <t>853a8h</t>
  </si>
  <si>
    <t>853ab4mo</t>
  </si>
  <si>
    <t>853b</t>
  </si>
  <si>
    <t>853b4h</t>
  </si>
  <si>
    <t>853b8h</t>
  </si>
  <si>
    <t>853bb4mo</t>
  </si>
  <si>
    <t>853c</t>
  </si>
  <si>
    <t>853c4h</t>
  </si>
  <si>
    <t>853c8h</t>
  </si>
  <si>
    <t>853cb4mo</t>
  </si>
  <si>
    <t>854a</t>
  </si>
  <si>
    <t xml:space="preserve">Open Cytogram</t>
  </si>
  <si>
    <t>854a0h</t>
  </si>
  <si>
    <t>854a4h</t>
  </si>
  <si>
    <t>854a8h</t>
  </si>
  <si>
    <t>854ab4mo</t>
  </si>
  <si>
    <t>854b</t>
  </si>
  <si>
    <t>854b0h</t>
  </si>
  <si>
    <t>854b4h</t>
  </si>
  <si>
    <t>854b8h</t>
  </si>
  <si>
    <t>854bb4mo</t>
  </si>
  <si>
    <t>854c</t>
  </si>
  <si>
    <t>854c0h</t>
  </si>
  <si>
    <t>854c4h</t>
  </si>
  <si>
    <t>854c8h</t>
  </si>
  <si>
    <t>854cb4mo</t>
  </si>
  <si>
    <t>870a</t>
  </si>
  <si>
    <t>870b</t>
  </si>
  <si>
    <t>874b</t>
  </si>
  <si>
    <t>875a</t>
  </si>
  <si>
    <t>875b</t>
  </si>
  <si>
    <t>876a</t>
  </si>
  <si>
    <t>876b</t>
  </si>
  <si>
    <t>879a</t>
  </si>
  <si>
    <t>879b</t>
  </si>
  <si>
    <t>https://ucloud.univie.ac.at/index.php/f/1568321929</t>
  </si>
  <si>
    <t>AB29a</t>
  </si>
  <si>
    <t>AB29b</t>
  </si>
  <si>
    <t>AB30a</t>
  </si>
  <si>
    <t>AB30b</t>
  </si>
  <si>
    <t>AB33a</t>
  </si>
  <si>
    <t>AB33b</t>
  </si>
  <si>
    <t>AB34b</t>
  </si>
  <si>
    <t>AB37a</t>
  </si>
  <si>
    <t>AB37b</t>
  </si>
  <si>
    <t>AB38b</t>
  </si>
  <si>
    <t>J1</t>
  </si>
  <si>
    <t>Batch_Analysis_B35_data.pdf</t>
  </si>
  <si>
    <t>JB35old</t>
  </si>
  <si>
    <t>L498Sa</t>
  </si>
  <si>
    <t>L498Sb</t>
  </si>
  <si>
    <t>L498Sc</t>
  </si>
  <si>
    <t>Lcntr</t>
  </si>
  <si>
    <t>LRNAse</t>
  </si>
  <si>
    <t>test1</t>
  </si>
  <si>
    <t>test2</t>
  </si>
  <si>
    <t>test3</t>
  </si>
  <si>
    <t>test4</t>
  </si>
  <si>
    <t>test5</t>
  </si>
  <si>
    <t>test6</t>
  </si>
  <si>
    <t>unit2</t>
  </si>
  <si>
    <t>unit2-t0</t>
  </si>
  <si>
    <t>unit2ctrl</t>
  </si>
  <si>
    <t>unit2RNase</t>
  </si>
  <si>
    <t>unit4</t>
  </si>
  <si>
    <t>unit4-30c24h</t>
  </si>
  <si>
    <t>unit4-t0</t>
  </si>
  <si>
    <t>unit4ctrl</t>
  </si>
  <si>
    <t>unit4RNase</t>
  </si>
  <si>
    <t xml:space="preserve">Izemo mL-1</t>
  </si>
  <si>
    <t xml:space="preserve">Izemo %</t>
  </si>
  <si>
    <t>814</t>
  </si>
  <si>
    <t>Batch_Analysis_15052026132647.pdf</t>
  </si>
  <si>
    <t>815</t>
  </si>
  <si>
    <t>818</t>
  </si>
  <si>
    <t>819</t>
  </si>
  <si>
    <t>836</t>
  </si>
  <si>
    <t>Batch_Analysis_10062026110438.pdf</t>
  </si>
  <si>
    <t>837</t>
  </si>
  <si>
    <t>Batch_Analysis_17062026144213.pdf</t>
  </si>
  <si>
    <t>838</t>
  </si>
  <si>
    <t>839</t>
  </si>
  <si>
    <t>840</t>
  </si>
  <si>
    <t>847</t>
  </si>
  <si>
    <t>848</t>
  </si>
  <si>
    <t>862</t>
  </si>
  <si>
    <t>Batch_Analysis_01072026112750.pdf</t>
  </si>
  <si>
    <t>863</t>
  </si>
  <si>
    <t>864</t>
  </si>
  <si>
    <t>865</t>
  </si>
  <si>
    <t>866</t>
  </si>
  <si>
    <t>867</t>
  </si>
  <si>
    <t>868</t>
  </si>
  <si>
    <t>872</t>
  </si>
  <si>
    <t>Batch_Analysis_06072026115042.pdf</t>
  </si>
  <si>
    <t>Batch_Analysis_10072026103042.pdf</t>
  </si>
  <si>
    <t>Batch_Analysis_22072026_B36.pdf</t>
  </si>
  <si>
    <t>873</t>
  </si>
  <si>
    <t>Batch_Analysis_29072026_B36.pdf</t>
  </si>
  <si>
    <t>882</t>
  </si>
  <si>
    <t>Batch_Analysis_05082026_B36.pdf</t>
  </si>
  <si>
    <t>883</t>
  </si>
  <si>
    <t>486S</t>
  </si>
  <si>
    <t>500S</t>
  </si>
  <si>
    <t>501S</t>
  </si>
  <si>
    <t>502S</t>
  </si>
  <si>
    <t>503S</t>
  </si>
  <si>
    <t>507Sa</t>
  </si>
  <si>
    <t>507Sb</t>
  </si>
  <si>
    <t>510Sa</t>
  </si>
  <si>
    <t>510Sb</t>
  </si>
  <si>
    <t>512S</t>
  </si>
  <si>
    <t>Batch_Analysis_17072026105436.pdf</t>
  </si>
  <si>
    <t>513S</t>
  </si>
  <si>
    <t>514S</t>
  </si>
  <si>
    <t>519Sa</t>
  </si>
  <si>
    <t>519Sb</t>
  </si>
  <si>
    <t>520S</t>
  </si>
  <si>
    <t>524Sa</t>
  </si>
  <si>
    <t>524Sb</t>
  </si>
  <si>
    <t>525S</t>
  </si>
  <si>
    <t>https://ucloud.univie.ac.at/index.php/f/1568324104</t>
  </si>
  <si>
    <t>526S</t>
  </si>
  <si>
    <t>802a</t>
  </si>
  <si>
    <t>Batch_Analysis_05062026114759.pdf</t>
  </si>
  <si>
    <t>802b</t>
  </si>
  <si>
    <t>802c</t>
  </si>
  <si>
    <t>802d</t>
  </si>
  <si>
    <t>803a</t>
  </si>
  <si>
    <t>803b</t>
  </si>
  <si>
    <t>803c</t>
  </si>
  <si>
    <t>820a</t>
  </si>
  <si>
    <t>820b</t>
  </si>
  <si>
    <t>821a</t>
  </si>
  <si>
    <t>821b</t>
  </si>
  <si>
    <t>821c</t>
  </si>
  <si>
    <t>826a</t>
  </si>
  <si>
    <t>826b</t>
  </si>
  <si>
    <t>844a</t>
  </si>
  <si>
    <t>Batch_Analysis_05062026120042.pdf</t>
  </si>
  <si>
    <t>844b</t>
  </si>
  <si>
    <t>844c</t>
  </si>
  <si>
    <t>844d</t>
  </si>
  <si>
    <t>845a</t>
  </si>
  <si>
    <t>845b</t>
  </si>
  <si>
    <t>845c</t>
  </si>
  <si>
    <t>846a</t>
  </si>
  <si>
    <t>846b</t>
  </si>
  <si>
    <t>855a</t>
  </si>
  <si>
    <t>Batch_Analysis_19062026103820.pdf</t>
  </si>
  <si>
    <t>855a4h</t>
  </si>
  <si>
    <t>855a8h</t>
  </si>
  <si>
    <t>855ab4mo</t>
  </si>
  <si>
    <t>855b</t>
  </si>
  <si>
    <t>855b4h</t>
  </si>
  <si>
    <t>855b8h</t>
  </si>
  <si>
    <t>855bb4mo</t>
  </si>
  <si>
    <t>855c</t>
  </si>
  <si>
    <t>855c4h</t>
  </si>
  <si>
    <t>855c8h</t>
  </si>
  <si>
    <t>855cb4mo</t>
  </si>
  <si>
    <t>856a</t>
  </si>
  <si>
    <t>856a0h</t>
  </si>
  <si>
    <t>856a4h</t>
  </si>
  <si>
    <t>856a8h</t>
  </si>
  <si>
    <t>856ab4mo</t>
  </si>
  <si>
    <t>856b</t>
  </si>
  <si>
    <t>856b0h</t>
  </si>
  <si>
    <t>856b4h</t>
  </si>
  <si>
    <t>856b8h</t>
  </si>
  <si>
    <t>856bb4mo</t>
  </si>
  <si>
    <t>856c</t>
  </si>
  <si>
    <t>856c0h</t>
  </si>
  <si>
    <t>856c4h</t>
  </si>
  <si>
    <t>856c8h</t>
  </si>
  <si>
    <t>856cb4mo</t>
  </si>
  <si>
    <t>874a</t>
  </si>
  <si>
    <t>877b</t>
  </si>
  <si>
    <t>878a</t>
  </si>
  <si>
    <t>878b</t>
  </si>
  <si>
    <t>https://ucloud.univie.ac.at/index.php/f/1568323194</t>
  </si>
  <si>
    <t>884a</t>
  </si>
  <si>
    <t>884b</t>
  </si>
  <si>
    <t>AB27a</t>
  </si>
  <si>
    <t>AB27b</t>
  </si>
  <si>
    <t>AB28a</t>
  </si>
  <si>
    <t>AB31a</t>
  </si>
  <si>
    <t>AB31b</t>
  </si>
  <si>
    <t>AB32a</t>
  </si>
  <si>
    <t>AB35a</t>
  </si>
  <si>
    <t>AB35b</t>
  </si>
  <si>
    <t>AB36a</t>
  </si>
  <si>
    <t>AB39a</t>
  </si>
  <si>
    <t>AB39b</t>
  </si>
  <si>
    <t>AB40a</t>
  </si>
  <si>
    <t>J2</t>
  </si>
  <si>
    <t>Batch_Analysis_B36_data.pdf</t>
  </si>
  <si>
    <t>JB36old</t>
  </si>
  <si>
    <t>L503S</t>
  </si>
  <si>
    <t>L846a</t>
  </si>
  <si>
    <t>LRNase</t>
  </si>
  <si>
    <t>reactor10unit1</t>
  </si>
  <si>
    <t>reactor10unit3</t>
  </si>
  <si>
    <t>unit1</t>
  </si>
  <si>
    <t>unit2-t6</t>
  </si>
  <si>
    <t>b35</t>
  </si>
  <si>
    <t>unit3</t>
  </si>
  <si>
    <t>unit4-t6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</si>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</sst>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&quot;%&quot;"/>
  </numFmts>
  <fonts count="6">
    <font>
      <sz val="11.000000"/>
      <name val="Calibri"/>
      <scheme val="minor"/>
    </font>
    <font>
      <sz val="11.000000"/>
      <color indexed="65"/>
      <name val="Calibri"/>
      <b/>
    </font>
    <font>
      <sz val="11.000000"/>
      <color rgb="#000000"/>
      <name val="Calibri"/>
      <b/>
    </font>
    <font>
      <sz val="11.000000"/>
      <color rgb="#000000"/>
      <name val="Calibri"/>
    </font>
    <font>
      <sz val="11.000000"/>
      <color rgb="FF2D6DB5"/>
      <name val="Calibri"/>
      <u val="single"/>
    </font>
    <font>
      <sz val="11.000000"/>
      <color theme="10"/>
      <name val="Calibri"/>
      <u val="single"/>
    </font>
  </fonts>
  <fills count="11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8F0F7"/>
      </patternFill>
    </fill>
    <fill>
      <patternFill patternType="solid">
        <fgColor rgb="FFF5F5F5"/>
      </patternFill>
    </fill>
    <fill>
      <patternFill patternType="solid">
        <fgColor rgb="FFEEE8F4"/>
      </patternFill>
    </fill>
    <fill>
      <patternFill patternType="solid">
        <fgColor rgb="FFD6EAD6"/>
      </patternFill>
    </fill>
    <fill>
      <patternFill patternType="solid">
        <fgColor rgb="FFFDE8D8"/>
      </patternFill>
    </fill>
    <fill>
      <patternFill patternType="solid">
        <fgColor rgb="FFF0F0F0"/>
      </patternFill>
    </fill>
    <fill>
      <patternFill patternType="solid">
        <fgColor rgb="FFFAFAF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thick">
        <color rgb="FF000000"/>
      </bottom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164" fontId="3" fillId="4" borderId="0" xfId="0" applyFont="1" applyNumberFormat="1" applyFill="1" applyAlignment="1">
      <alignment horizontal="center"/>
    </xf>
    <xf numFmtId="1" fontId="3" fillId="5" borderId="0" xfId="0" applyFont="1" applyNumberFormat="1" applyFill="1" applyAlignment="1">
      <alignment horizontal="center"/>
    </xf>
    <xf numFmtId="11" fontId="3" fillId="6" borderId="0" xfId="0" applyFont="1" applyNumberFormat="1" applyFill="1"/>
    <xf numFmtId="165" fontId="3" fillId="6" borderId="0" xfId="0" applyFont="1" applyNumberFormat="1" applyFill="1"/>
    <xf numFmtId="11" fontId="3" fillId="7" borderId="0" xfId="0" applyFont="1" applyNumberFormat="1" applyFill="1"/>
    <xf numFmtId="165" fontId="3" fillId="7" borderId="0" xfId="0" applyFont="1" applyNumberFormat="1" applyFill="1"/>
    <xf numFmtId="0" fontId="4" fillId="8" borderId="0" xfId="0" applyFont="1" applyFill="1"/>
    <xf numFmtId="0" fontId="3" fillId="9" borderId="0" xfId="0" applyFont="1" applyFill="1"/>
    <xf numFmtId="0" fontId="3" fillId="0" borderId="0" xfId="0" applyFont="1"/>
    <xf numFmtId="11" fontId="3" fillId="10" borderId="0" xfId="0" applyFont="1" applyNumberFormat="1" applyFill="1"/>
    <xf numFmtId="165" fontId="3" fillId="10" borderId="0" xfId="0" applyFont="1" applyNumberFormat="1" applyFill="1"/>
    <xf numFmtId="0" fontId="5" fillId="8" borderId="0" xfId="0" applyFont="1" applyFill="1"/>
    <xf numFmtId="0" fontId="4" fillId="8" borderId="1" xfId="0" applyFont="1" applyFill="1" applyBorder="1"/>
    <xf numFmtId="0" fontId="3" fillId="9" borderId="1" xfId="0" applyFont="1" applyFill="1" applyBorder="1"/>
    <xf numFmtId="0" fontId="2" fillId="3" borderId="1" xfId="0" applyFont="1" applyFill="1" applyBorder="1"/>
    <xf numFmtId="164" fontId="3" fillId="4" borderId="1" xfId="0" applyFont="1" applyNumberFormat="1" applyFill="1" applyBorder="1" applyAlignment="1">
      <alignment horizontal="center"/>
    </xf>
    <xf numFmtId="1" fontId="3" fillId="5" borderId="1" xfId="0" applyFont="1" applyNumberFormat="1" applyFill="1" applyBorder="1" applyAlignment="1">
      <alignment horizontal="center"/>
    </xf>
    <xf numFmtId="11" fontId="3" fillId="6" borderId="1" xfId="0" applyFont="1" applyNumberFormat="1" applyFill="1" applyBorder="1"/>
    <xf numFmtId="165" fontId="3" fillId="6" borderId="1" xfId="0" applyFont="1" applyNumberFormat="1" applyFill="1" applyBorder="1"/>
    <xf numFmtId="11" fontId="3" fillId="7" borderId="1" xfId="0" applyFont="1" applyNumberFormat="1" applyFill="1" applyBorder="1"/>
    <xf numFmtId="165" fontId="3" fillId="7" borderId="1" xfId="0" applyFont="1" applyNumberFormat="1" applyFill="1" applyBorder="1"/>
    <xf numFmtId="0" fontId="5" fillId="8" borderId="1" xfId="0" applyFont="1" applyFill="1" applyBorder="1"/>
    <xf numFmtId="0" fontId="3" fillId="0" borderId="1" xfId="0" applyFont="1" applyBorder="1"/>
    <xf numFmtId="0" fontId="5" fillId="9" borderId="1" xfId="0" applyFont="1" applyFill="1" applyBorder="1"/>
    <xf numFmtId="11" fontId="3" fillId="10" borderId="1" xfId="0" applyFont="1" applyNumberFormat="1" applyFill="1" applyBorder="1"/>
    <xf numFmtId="165" fontId="3" fillId="10" borderId="1" xfId="0" applyFont="1" applyNumberFormat="1" applyFill="1" applyBorder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ucloud.univie.ac.at/index.php/f/1568321929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ucloud.univie.ac.at/index.php/f/1568324104" TargetMode="External"/><Relationship Id="rId2h" Type="http://schemas.openxmlformats.org/officeDocument/2006/relationships/hyperlink" Target="https://ucloud.univie.ac.at/index.php/f/15683231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opLeftCell="A1" zoomScale="100" workbookViewId="0">
      <pane ySplit="1" topLeftCell="A2" activePane="bottomLeft" state="frozen"/>
      <selection activeCell="N204" activeCellId="0" sqref="N204"/>
    </sheetView>
  </sheetViews>
  <sheetFormatPr defaultRowHeight="15.0" baseColWidth="10"/>
  <cols>
    <col min="1" max="1" width="14.7109375" hidden="0" customWidth="1"/>
    <col min="2" max="2" width="14.7109375" hidden="0" customWidth="1"/>
    <col min="3" max="3" width="14.7109375" hidden="0" customWidth="1"/>
    <col min="4" max="4" width="11.7109375" hidden="0" customWidth="1"/>
    <col min="5" max="5" width="14.7109375" hidden="0" customWidth="1"/>
    <col min="6" max="6" width="10.7109375" hidden="0" customWidth="1"/>
    <col min="7" max="7" width="16.7109375" hidden="0" customWidth="1"/>
    <col min="8" max="8" width="12.7109375" hidden="0" customWidth="1"/>
    <col min="9" max="9" width="16.7109375" hidden="0" customWidth="1"/>
    <col min="10" max="10" width="16.7109375" hidden="0" customWidth="1"/>
    <col min="11" max="11" width="9.14" hidden="1" customWidth="1"/>
    <col min="12" max="12" width="16.7109375" hidden="0" customWidth="1"/>
    <col min="13" max="13" width="9.14" hidden="1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17" t="s">
        <v>13</v>
      </c>
      <c r="B2" s="18" t="n">
        <v>46153</v>
      </c>
      <c r="C2" s="18" t="n">
        <v>46136</v>
      </c>
      <c r="D2" s="19" t="n">
        <f t="shared" ref="D2:D65" si="0">IF(OR(C2="",B2=""),"",B2-C2)</f>
        <v>17</v>
      </c>
      <c r="E2" s="20" t="n">
        <v>4060415.64588456</v>
      </c>
      <c r="F2" s="21" t="n">
        <v>45.376121463078</v>
      </c>
      <c r="G2" s="22" t="n">
        <v>2794430.5395631399</v>
      </c>
      <c r="H2" s="23" t="n">
        <v>31.228433402346401</v>
      </c>
      <c r="I2" s="24" t="str">
        <f>=HYPERLINK("https://ucloud.univie.ac.at/index.php/f/1514655988","Open Cytogram")</f>
      </c>
      <c r="J2" s="15" t="s">
        <v>314</v>
      </c>
      <c r="K2" s="16" t="s">
        <v>14</v>
      </c>
      <c r="L2" s="16" t="s">
        <v>314</v>
      </c>
      <c r="M2" s="16" t="s">
        <v>15</v>
      </c>
    </row>
    <row r="3">
      <c r="A3" s="17" t="s">
        <v>16</v>
      </c>
      <c r="B3" s="18" t="n">
        <v>46153</v>
      </c>
      <c r="C3" s="18" t="n">
        <v>46136</v>
      </c>
      <c r="D3" s="19" t="n">
        <f t="shared" si="0"/>
        <v>17</v>
      </c>
      <c r="E3" s="20" t="n">
        <v>15140.023622623399</v>
      </c>
      <c r="F3" s="21" t="n">
        <v>3.28530259365994</v>
      </c>
      <c r="G3" s="22" t="n">
        <v>91902.599533818997</v>
      </c>
      <c r="H3" s="23" t="n">
        <v>19.942363112391899</v>
      </c>
      <c r="I3" s="24" t="str">
        <f>=HYPERLINK("https://ucloud.univie.ac.at/index.php/f/1514655988","Open Cytogram")</f>
      </c>
      <c r="J3" s="15" t="s">
        <v>314</v>
      </c>
      <c r="K3" s="25" t="s">
        <v>14</v>
      </c>
      <c r="L3" s="25" t="s">
        <v>314</v>
      </c>
      <c r="M3" s="25" t="s">
        <v>15</v>
      </c>
    </row>
    <row r="4">
      <c r="A4" s="17" t="s">
        <v>17</v>
      </c>
      <c r="B4" s="18" t="n">
        <v>46153</v>
      </c>
      <c r="C4" s="18" t="n">
        <v>46136</v>
      </c>
      <c r="D4" s="19" t="n">
        <f t="shared" si="0"/>
        <v>17</v>
      </c>
      <c r="E4" s="20" t="n">
        <v>6254054.64718646</v>
      </c>
      <c r="F4" s="21" t="n">
        <v>33.798183508546103</v>
      </c>
      <c r="G4" s="22" t="n">
        <v>6151717.1751771998</v>
      </c>
      <c r="H4" s="23" t="n">
        <v>33.245130992395502</v>
      </c>
      <c r="I4" s="24" t="str">
        <f>=HYPERLINK("https://ucloud.univie.ac.at/index.php/f/1514655988","Open Cytogram")</f>
      </c>
      <c r="J4" s="15" t="s">
        <v>314</v>
      </c>
      <c r="K4" s="16" t="s">
        <v>14</v>
      </c>
      <c r="L4" s="16" t="s">
        <v>314</v>
      </c>
      <c r="M4" s="16" t="s">
        <v>15</v>
      </c>
    </row>
    <row r="5">
      <c r="A5" s="17" t="s">
        <v>18</v>
      </c>
      <c r="B5" s="18" t="n">
        <v>46153</v>
      </c>
      <c r="C5" s="18" t="n">
        <v>46136</v>
      </c>
      <c r="D5" s="19" t="n">
        <f t="shared" si="0"/>
        <v>17</v>
      </c>
      <c r="E5" s="20" t="n">
        <v>3292884.6058151298</v>
      </c>
      <c r="F5" s="21" t="n">
        <v>24.098524711883002</v>
      </c>
      <c r="G5" s="22" t="n">
        <v>473751.91783596098</v>
      </c>
      <c r="H5" s="23" t="n">
        <v>3.4670884850050001</v>
      </c>
      <c r="I5" s="24" t="str">
        <f>=HYPERLINK("https://ucloud.univie.ac.at/index.php/f/1514655988","Open Cytogram")</f>
      </c>
      <c r="J5" s="15" t="s">
        <v>314</v>
      </c>
      <c r="K5" s="25" t="s">
        <v>14</v>
      </c>
      <c r="L5" s="25" t="s">
        <v>314</v>
      </c>
      <c r="M5" s="25" t="s">
        <v>15</v>
      </c>
    </row>
    <row r="6">
      <c r="A6" s="17" t="s">
        <v>19</v>
      </c>
      <c r="B6" s="18" t="n">
        <v>46153</v>
      </c>
      <c r="C6" s="18" t="n">
        <v>46136</v>
      </c>
      <c r="D6" s="19" t="n">
        <f t="shared" si="0"/>
        <v>17</v>
      </c>
      <c r="E6" s="20" t="n">
        <v>7650608.2522783102</v>
      </c>
      <c r="F6" s="21" t="n">
        <v>55.786426503698898</v>
      </c>
      <c r="G6" s="22" t="n">
        <v>2175553.49978302</v>
      </c>
      <c r="H6" s="23" t="n">
        <v>15.863621743325799</v>
      </c>
      <c r="I6" s="24" t="str">
        <f>=HYPERLINK("https://ucloud.univie.ac.at/index.php/f/1514655988","Open Cytogram")</f>
      </c>
      <c r="J6" s="15" t="s">
        <v>314</v>
      </c>
      <c r="K6" s="16" t="s">
        <v>14</v>
      </c>
      <c r="L6" s="16" t="s">
        <v>314</v>
      </c>
      <c r="M6" s="16" t="s">
        <v>15</v>
      </c>
    </row>
    <row r="7">
      <c r="A7" s="17" t="s">
        <v>20</v>
      </c>
      <c r="B7" s="18" t="n">
        <v>46153</v>
      </c>
      <c r="C7" s="18" t="n">
        <v>46142</v>
      </c>
      <c r="D7" s="19" t="n">
        <f t="shared" si="0"/>
        <v>11</v>
      </c>
      <c r="E7" s="20" t="n">
        <v>1171870.1920833599</v>
      </c>
      <c r="F7" s="21" t="n">
        <v>29.679679679679701</v>
      </c>
      <c r="G7" s="22" t="n">
        <v>1028268.33605516</v>
      </c>
      <c r="H7" s="23" t="n">
        <v>26.042709376042701</v>
      </c>
      <c r="I7" s="24" t="str">
        <f>=HYPERLINK("https://ucloud.univie.ac.at/index.php/f/1514655988","Open Cytogram")</f>
      </c>
      <c r="J7" s="15" t="s">
        <v>314</v>
      </c>
      <c r="K7" s="25" t="s">
        <v>14</v>
      </c>
      <c r="L7" s="25" t="s">
        <v>314</v>
      </c>
      <c r="M7" s="25" t="s">
        <v>15</v>
      </c>
    </row>
    <row r="8">
      <c r="A8" s="17" t="s">
        <v>21</v>
      </c>
      <c r="B8" s="18" t="n">
        <v>46153</v>
      </c>
      <c r="C8" s="18" t="n">
        <v>46142</v>
      </c>
      <c r="D8" s="19" t="n">
        <f t="shared" si="0"/>
        <v>11</v>
      </c>
      <c r="E8" s="20" t="n">
        <v>2170701.2920584399</v>
      </c>
      <c r="F8" s="21" t="n">
        <v>39.846153846153797</v>
      </c>
      <c r="G8" s="22" t="n">
        <v>2141588.04571098</v>
      </c>
      <c r="H8" s="23" t="n">
        <v>39.311740890688299</v>
      </c>
      <c r="I8" s="24" t="str">
        <f>=HYPERLINK("https://ucloud.univie.ac.at/index.php/f/1514655988","Open Cytogram")</f>
      </c>
      <c r="J8" s="15" t="s">
        <v>314</v>
      </c>
      <c r="K8" s="16" t="s">
        <v>14</v>
      </c>
      <c r="L8" s="16" t="s">
        <v>314</v>
      </c>
      <c r="M8" s="16" t="s">
        <v>15</v>
      </c>
    </row>
    <row r="9">
      <c r="A9" s="17" t="s">
        <v>22</v>
      </c>
      <c r="B9" s="18" t="n">
        <v>46153</v>
      </c>
      <c r="C9" s="18" t="n">
        <v>46142</v>
      </c>
      <c r="D9" s="19" t="n">
        <f t="shared" si="0"/>
        <v>11</v>
      </c>
      <c r="E9" s="20" t="n">
        <v>3649617.6636119699</v>
      </c>
      <c r="F9" s="21" t="n">
        <v>32.935368043087998</v>
      </c>
      <c r="G9" s="22" t="n">
        <v>2756361.5551563799</v>
      </c>
      <c r="H9" s="23" t="n">
        <v>24.874326750448802</v>
      </c>
      <c r="I9" s="24" t="str">
        <f>=HYPERLINK("https://ucloud.univie.ac.at/index.php/f/1514655988","Open Cytogram")</f>
      </c>
      <c r="J9" s="15" t="s">
        <v>314</v>
      </c>
      <c r="K9" s="25" t="s">
        <v>14</v>
      </c>
      <c r="L9" s="25" t="s">
        <v>314</v>
      </c>
      <c r="M9" s="25" t="s">
        <v>15</v>
      </c>
    </row>
    <row r="10">
      <c r="A10" s="17" t="s">
        <v>23</v>
      </c>
      <c r="B10" s="18"/>
      <c r="C10" s="18" t="n">
        <v>46160</v>
      </c>
      <c r="D10" s="19" t="str">
        <f t="shared" si="0"/>
        <v/>
      </c>
      <c r="E10" s="20" t="n">
        <v>3585535.9051771602</v>
      </c>
      <c r="F10" s="21" t="n">
        <v>49.341468859290103</v>
      </c>
      <c r="G10" s="22" t="n">
        <v>1587563.47724327</v>
      </c>
      <c r="H10" s="23" t="n">
        <v>21.846863605923101</v>
      </c>
      <c r="I10" s="24" t="str">
        <f>=HYPERLINK("https://ucloud.univie.ac.at/index.php/f/1518571338","Open Cytogram")</f>
      </c>
      <c r="J10" s="15" t="s">
        <v>314</v>
      </c>
      <c r="K10" s="16" t="s">
        <v>14</v>
      </c>
      <c r="L10" s="16" t="s">
        <v>314</v>
      </c>
      <c r="M10" s="16" t="s">
        <v>24</v>
      </c>
    </row>
    <row r="11">
      <c r="A11" s="17" t="s">
        <v>25</v>
      </c>
      <c r="B11" s="18"/>
      <c r="C11" s="18" t="n">
        <v>46160</v>
      </c>
      <c r="D11" s="19" t="str">
        <f t="shared" si="0"/>
        <v/>
      </c>
      <c r="E11" s="20" t="n">
        <v>4213632.1708549801</v>
      </c>
      <c r="F11" s="21" t="n">
        <v>40.740411537264997</v>
      </c>
      <c r="G11" s="22" t="n">
        <v>3058985.72019635</v>
      </c>
      <c r="H11" s="23" t="n">
        <v>29.5764632682992</v>
      </c>
      <c r="I11" s="24" t="str">
        <f>=HYPERLINK("https://ucloud.univie.ac.at/index.php/f/1518571338","Open Cytogram")</f>
      </c>
      <c r="J11" s="15" t="s">
        <v>314</v>
      </c>
      <c r="K11" s="25" t="s">
        <v>14</v>
      </c>
      <c r="L11" s="25" t="s">
        <v>314</v>
      </c>
      <c r="M11" s="25" t="s">
        <v>24</v>
      </c>
    </row>
    <row r="12">
      <c r="A12" s="17" t="s">
        <v>26</v>
      </c>
      <c r="B12" s="18"/>
      <c r="C12" s="18" t="n">
        <v>46160</v>
      </c>
      <c r="D12" s="19" t="str">
        <f t="shared" si="0"/>
        <v/>
      </c>
      <c r="E12" s="20" t="n">
        <v>13258906.461815599</v>
      </c>
      <c r="F12" s="21" t="n">
        <v>53.677319984597602</v>
      </c>
      <c r="G12" s="22" t="n">
        <v>8895071.2504232004</v>
      </c>
      <c r="H12" s="23" t="n">
        <v>36.010781671159002</v>
      </c>
      <c r="I12" s="24" t="str">
        <f>=HYPERLINK("https://ucloud.univie.ac.at/index.php/f/1518571338","Open Cytogram")</f>
      </c>
      <c r="J12" s="15" t="s">
        <v>314</v>
      </c>
      <c r="K12" s="16" t="s">
        <v>14</v>
      </c>
      <c r="L12" s="16" t="s">
        <v>314</v>
      </c>
      <c r="M12" s="16" t="s">
        <v>24</v>
      </c>
    </row>
    <row r="13">
      <c r="A13" s="2" t="s">
        <v>27</v>
      </c>
      <c r="B13" s="3"/>
      <c r="C13" s="3" t="n">
        <v>46171</v>
      </c>
      <c r="D13" s="4" t="str">
        <f t="shared" si="0"/>
        <v/>
      </c>
      <c r="E13" s="5" t="n">
        <v>1079033.65550112</v>
      </c>
      <c r="F13" s="6" t="n">
        <v>27.684415354678901</v>
      </c>
      <c r="G13" s="7" t="n">
        <v>1425841.27768454</v>
      </c>
      <c r="H13" s="8" t="n">
        <v>36.5823456571732</v>
      </c>
      <c r="I13" s="14" t="str">
        <f>=HYPERLINK("https://ucloud.univie.ac.at/index.php/f/1518571338","Open Cytogram")</f>
      </c>
      <c r="J13" s="9" t="s">
        <v>314</v>
      </c>
      <c r="K13" t="s">
        <v>14</v>
      </c>
      <c r="L13" t="s">
        <v>314</v>
      </c>
      <c r="M13" t="s">
        <v>24</v>
      </c>
    </row>
    <row r="14">
      <c r="A14" s="17" t="s">
        <v>314</v>
      </c>
      <c r="B14" s="18" t="n">
        <v>46189</v>
      </c>
      <c r="C14" s="18" t="n">
        <v>46171</v>
      </c>
      <c r="D14" s="19" t="n">
        <f t="shared" si="0"/>
        <v>18</v>
      </c>
      <c r="E14" s="20" t="n">
        <v>1839159.4851965001</v>
      </c>
      <c r="F14" s="21" t="n">
        <v>18.088298328332598</v>
      </c>
      <c r="G14" s="22" t="n">
        <v>7321149.7584379399</v>
      </c>
      <c r="H14" s="23" t="n">
        <v>72.004163860143294</v>
      </c>
      <c r="I14" s="24" t="str">
        <f>=HYPERLINK("https://ucloud.univie.ac.at/index.php/f/1525440401","Open Cytogram")</f>
      </c>
      <c r="J14" s="15" t="s">
        <v>314</v>
      </c>
      <c r="K14" s="16" t="s">
        <v>14</v>
      </c>
      <c r="L14" s="16" t="s">
        <v>314</v>
      </c>
      <c r="M14" s="16" t="s">
        <v>28</v>
      </c>
    </row>
    <row r="15">
      <c r="A15" s="2" t="s">
        <v>29</v>
      </c>
      <c r="B15" s="3"/>
      <c r="C15" s="3" t="n">
        <v>46171</v>
      </c>
      <c r="D15" s="4" t="str">
        <f t="shared" si="0"/>
        <v/>
      </c>
      <c r="E15" s="5" t="n">
        <v>6383268.4994393401</v>
      </c>
      <c r="F15" s="6" t="n">
        <v>34.748922570335601</v>
      </c>
      <c r="G15" s="7" t="n">
        <v>10717949.017522899</v>
      </c>
      <c r="H15" s="8" t="n">
        <v>58.345842816328499</v>
      </c>
      <c r="I15" s="14" t="str">
        <f>=HYPERLINK("https://ucloud.univie.ac.at/index.php/f/1518571338","Open Cytogram")</f>
      </c>
      <c r="J15" s="9" t="s">
        <v>314</v>
      </c>
      <c r="K15" t="s">
        <v>14</v>
      </c>
      <c r="L15" t="s">
        <v>314</v>
      </c>
      <c r="M15" t="s">
        <v>24</v>
      </c>
    </row>
    <row r="16">
      <c r="A16" s="17" t="s">
        <v>314</v>
      </c>
      <c r="B16" s="18" t="n">
        <v>46189</v>
      </c>
      <c r="C16" s="18" t="n">
        <v>46171</v>
      </c>
      <c r="D16" s="19" t="n">
        <f t="shared" si="0"/>
        <v>18</v>
      </c>
      <c r="E16" s="20" t="n">
        <v>4870154.0376164</v>
      </c>
      <c r="F16" s="21" t="n">
        <v>31.9004673820025</v>
      </c>
      <c r="G16" s="22" t="n">
        <v>9301632.4174904209</v>
      </c>
      <c r="H16" s="23" t="n">
        <v>60.9275228753867</v>
      </c>
      <c r="I16" s="24" t="str">
        <f>=HYPERLINK("https://ucloud.univie.ac.at/index.php/f/1525440401","Open Cytogram")</f>
      </c>
      <c r="J16" s="15" t="s">
        <v>314</v>
      </c>
      <c r="K16" s="16" t="s">
        <v>14</v>
      </c>
      <c r="L16" s="16" t="s">
        <v>314</v>
      </c>
      <c r="M16" s="16" t="s">
        <v>28</v>
      </c>
    </row>
    <row r="17">
      <c r="A17" s="2" t="s">
        <v>30</v>
      </c>
      <c r="B17" s="3"/>
      <c r="C17" s="3" t="n">
        <v>46171</v>
      </c>
      <c r="D17" s="4" t="str">
        <f t="shared" si="0"/>
        <v/>
      </c>
      <c r="E17" s="5" t="n">
        <v>6311485.0367138796</v>
      </c>
      <c r="F17" s="6" t="n">
        <v>25.876300316598801</v>
      </c>
      <c r="G17" s="7" t="n">
        <v>16639871.0810632</v>
      </c>
      <c r="H17" s="8" t="n">
        <v>68.221393034825894</v>
      </c>
      <c r="I17" s="14" t="str">
        <f>=HYPERLINK("https://ucloud.univie.ac.at/index.php/f/1518571338","Open Cytogram")</f>
      </c>
      <c r="J17" s="9" t="s">
        <v>314</v>
      </c>
      <c r="K17" t="s">
        <v>14</v>
      </c>
      <c r="L17" t="s">
        <v>314</v>
      </c>
      <c r="M17" t="s">
        <v>24</v>
      </c>
    </row>
    <row r="18">
      <c r="A18" s="17" t="s">
        <v>314</v>
      </c>
      <c r="B18" s="18" t="n">
        <v>46189</v>
      </c>
      <c r="C18" s="18" t="n">
        <v>46171</v>
      </c>
      <c r="D18" s="19" t="n">
        <f t="shared" si="0"/>
        <v>18</v>
      </c>
      <c r="E18" s="20" t="n">
        <v>2329298.9294703999</v>
      </c>
      <c r="F18" s="21" t="n">
        <v>13.395755893285701</v>
      </c>
      <c r="G18" s="22" t="n">
        <v>14529687.2808096</v>
      </c>
      <c r="H18" s="23" t="n">
        <v>83.559968004517003</v>
      </c>
      <c r="I18" s="24" t="str">
        <f>=HYPERLINK("https://ucloud.univie.ac.at/index.php/f/1525440401","Open Cytogram")</f>
      </c>
      <c r="J18" s="15" t="s">
        <v>314</v>
      </c>
      <c r="K18" s="16" t="s">
        <v>14</v>
      </c>
      <c r="L18" s="16" t="s">
        <v>314</v>
      </c>
      <c r="M18" s="16" t="s">
        <v>28</v>
      </c>
    </row>
    <row r="19">
      <c r="A19" s="2" t="s">
        <v>31</v>
      </c>
      <c r="B19" s="3"/>
      <c r="C19" s="3" t="n">
        <v>46171</v>
      </c>
      <c r="D19" s="4" t="str">
        <f t="shared" si="0"/>
        <v/>
      </c>
      <c r="E19" s="5" t="n">
        <v>4904359.92459008</v>
      </c>
      <c r="F19" s="6" t="n">
        <v>25.329535299374399</v>
      </c>
      <c r="G19" s="7" t="n">
        <v>12924367.2455956</v>
      </c>
      <c r="H19" s="8" t="n">
        <v>66.750446827524598</v>
      </c>
      <c r="I19" s="14" t="str">
        <f>=HYPERLINK("https://ucloud.univie.ac.at/index.php/f/1518571338","Open Cytogram")</f>
      </c>
      <c r="J19" s="9" t="s">
        <v>314</v>
      </c>
      <c r="K19" t="s">
        <v>14</v>
      </c>
      <c r="L19" t="s">
        <v>314</v>
      </c>
      <c r="M19" t="s">
        <v>24</v>
      </c>
    </row>
    <row r="20">
      <c r="A20" s="17" t="s">
        <v>314</v>
      </c>
      <c r="B20" s="18" t="n">
        <v>46189</v>
      </c>
      <c r="C20" s="18" t="n">
        <v>46171</v>
      </c>
      <c r="D20" s="19" t="n">
        <f t="shared" si="0"/>
        <v>18</v>
      </c>
      <c r="E20" s="20" t="n">
        <v>4054106.7659398601</v>
      </c>
      <c r="F20" s="21" t="n">
        <v>26.324719394414</v>
      </c>
      <c r="G20" s="22" t="n">
        <v>10756347.2275296</v>
      </c>
      <c r="H20" s="23" t="n">
        <v>69.844688070999695</v>
      </c>
      <c r="I20" s="24" t="str">
        <f>=HYPERLINK("https://ucloud.univie.ac.at/index.php/f/1525440401","Open Cytogram")</f>
      </c>
      <c r="J20" s="15" t="s">
        <v>314</v>
      </c>
      <c r="K20" s="16" t="s">
        <v>14</v>
      </c>
      <c r="L20" s="16" t="s">
        <v>314</v>
      </c>
      <c r="M20" s="16" t="s">
        <v>28</v>
      </c>
    </row>
    <row r="21">
      <c r="A21" s="2" t="s">
        <v>32</v>
      </c>
      <c r="B21" s="3"/>
      <c r="C21" s="3" t="n">
        <v>46171</v>
      </c>
      <c r="D21" s="4" t="str">
        <f t="shared" si="0"/>
        <v/>
      </c>
      <c r="E21" s="5" t="n">
        <v>4613985.3117838902</v>
      </c>
      <c r="F21" s="6" t="n">
        <v>22.239031770045401</v>
      </c>
      <c r="G21" s="7" t="n">
        <v>11786540.091450401</v>
      </c>
      <c r="H21" s="8" t="n">
        <v>56.810159079447999</v>
      </c>
      <c r="I21" s="14" t="str">
        <f>=HYPERLINK("https://ucloud.univie.ac.at/index.php/f/1518571338","Open Cytogram")</f>
      </c>
      <c r="J21" s="9" t="s">
        <v>314</v>
      </c>
      <c r="K21" t="s">
        <v>14</v>
      </c>
      <c r="L21" t="s">
        <v>314</v>
      </c>
      <c r="M21" t="s">
        <v>24</v>
      </c>
    </row>
    <row r="22">
      <c r="A22" s="17" t="s">
        <v>314</v>
      </c>
      <c r="B22" s="18" t="n">
        <v>46189</v>
      </c>
      <c r="C22" s="18" t="n">
        <v>46171</v>
      </c>
      <c r="D22" s="19" t="n">
        <f t="shared" si="0"/>
        <v>18</v>
      </c>
      <c r="E22" s="20" t="n">
        <v>2514973.2726238202</v>
      </c>
      <c r="F22" s="21" t="n">
        <v>18.832781456953601</v>
      </c>
      <c r="G22" s="22" t="n">
        <v>10286517.0557207</v>
      </c>
      <c r="H22" s="23" t="n">
        <v>77.028145695364202</v>
      </c>
      <c r="I22" s="24" t="str">
        <f>=HYPERLINK("https://ucloud.univie.ac.at/index.php/f/1525440401","Open Cytogram")</f>
      </c>
      <c r="J22" s="15" t="s">
        <v>314</v>
      </c>
      <c r="K22" s="16" t="s">
        <v>14</v>
      </c>
      <c r="L22" s="16" t="s">
        <v>314</v>
      </c>
      <c r="M22" s="16" t="s">
        <v>28</v>
      </c>
    </row>
    <row r="23">
      <c r="A23" s="2" t="s">
        <v>33</v>
      </c>
      <c r="B23" s="3" t="n">
        <v>46184</v>
      </c>
      <c r="C23" s="3" t="n">
        <v>46184</v>
      </c>
      <c r="D23" s="4" t="n">
        <f t="shared" si="0"/>
        <v>0</v>
      </c>
      <c r="E23" s="5" t="n">
        <v>1047772.07791557</v>
      </c>
      <c r="F23" s="6" t="n">
        <v>32.2639254123835</v>
      </c>
      <c r="G23" s="7" t="n">
        <v>1805652.2664612001</v>
      </c>
      <c r="H23" s="8" t="n">
        <v>55.6012431269424</v>
      </c>
      <c r="I23" s="14" t="str">
        <f>=HYPERLINK("https://ucloud.univie.ac.at/index.php/f/1525440401","Open Cytogram")</f>
      </c>
      <c r="J23" s="9" t="s">
        <v>314</v>
      </c>
      <c r="K23" t="s">
        <v>14</v>
      </c>
      <c r="L23" t="s">
        <v>314</v>
      </c>
      <c r="M23" t="s">
        <v>28</v>
      </c>
    </row>
    <row r="24">
      <c r="A24" s="2" t="s">
        <v>314</v>
      </c>
      <c r="B24" s="3" t="n">
        <v>46191</v>
      </c>
      <c r="C24" s="3" t="n">
        <v>46184</v>
      </c>
      <c r="D24" s="4" t="n">
        <f t="shared" si="0"/>
        <v>7</v>
      </c>
      <c r="E24" s="5" t="n">
        <v>2165962.77003357</v>
      </c>
      <c r="F24" s="6" t="n">
        <v>20.183286057167798</v>
      </c>
      <c r="G24" s="7" t="n">
        <v>6877224.4925282001</v>
      </c>
      <c r="H24" s="8" t="n">
        <v>64.084660702596594</v>
      </c>
      <c r="I24" s="14" t="str">
        <f>=HYPERLINK("https://ucloud.univie.ac.at/index.php/f/1527059776","Open Cytogram")</f>
      </c>
      <c r="J24" s="9" t="s">
        <v>314</v>
      </c>
      <c r="K24" s="10" t="s">
        <v>14</v>
      </c>
      <c r="L24" s="10" t="s">
        <v>314</v>
      </c>
      <c r="M24" s="10" t="s">
        <v>34</v>
      </c>
    </row>
    <row r="25">
      <c r="A25" s="2" t="s">
        <v>314</v>
      </c>
      <c r="B25" s="3" t="n">
        <v>46198</v>
      </c>
      <c r="C25" s="3" t="n">
        <v>46184</v>
      </c>
      <c r="D25" s="4" t="n">
        <f t="shared" si="0"/>
        <v>14</v>
      </c>
      <c r="E25" s="5" t="n">
        <v>4604364.1522282902</v>
      </c>
      <c r="F25" s="6" t="n">
        <v>19.194821113920199</v>
      </c>
      <c r="G25" s="7" t="n">
        <v>16758011.057341799</v>
      </c>
      <c r="H25" s="8" t="n">
        <v>69.861334559105202</v>
      </c>
      <c r="I25" s="14" t="str">
        <f>=HYPERLINK("https://ucloud.univie.ac.at/index.php/f/1537345531","Open Cytogram")</f>
      </c>
      <c r="J25" s="9" t="s">
        <v>314</v>
      </c>
      <c r="K25" t="s">
        <v>14</v>
      </c>
      <c r="L25" t="s">
        <v>314</v>
      </c>
      <c r="M25" t="s">
        <v>35</v>
      </c>
    </row>
    <row r="26">
      <c r="A26" s="2" t="s">
        <v>314</v>
      </c>
      <c r="B26" s="3" t="n">
        <v>46205</v>
      </c>
      <c r="C26" s="3" t="n">
        <v>46184</v>
      </c>
      <c r="D26" s="4" t="n">
        <f t="shared" si="0"/>
        <v>21</v>
      </c>
      <c r="E26" s="5" t="n">
        <v>12242064.5231371</v>
      </c>
      <c r="F26" s="6" t="n">
        <v>44.569504811195102</v>
      </c>
      <c r="G26" s="7" t="n">
        <v>8999366.5978709497</v>
      </c>
      <c r="H26" s="8" t="n">
        <v>32.763862020450702</v>
      </c>
      <c r="I26" s="14" t="str">
        <f>=HYPERLINK("https://ucloud.univie.ac.at/index.php/f/1547933978","Open Cytogram")</f>
      </c>
      <c r="J26" s="9" t="s">
        <v>314</v>
      </c>
      <c r="K26" s="10" t="s">
        <v>14</v>
      </c>
      <c r="L26" s="10" t="s">
        <v>314</v>
      </c>
      <c r="M26" s="10" t="s">
        <v>36</v>
      </c>
    </row>
    <row r="27">
      <c r="A27" s="17" t="s">
        <v>314</v>
      </c>
      <c r="B27" s="18" t="n">
        <v>46212</v>
      </c>
      <c r="C27" s="18" t="n">
        <v>46184</v>
      </c>
      <c r="D27" s="19" t="n">
        <f t="shared" si="0"/>
        <v>28</v>
      </c>
      <c r="E27" s="20" t="n">
        <v>10857307.1910435</v>
      </c>
      <c r="F27" s="21" t="n">
        <v>41.3471909010687</v>
      </c>
      <c r="G27" s="22" t="n">
        <v>10603703.9758863</v>
      </c>
      <c r="H27" s="23" t="n">
        <v>40.381409942151201</v>
      </c>
      <c r="I27" s="24" t="str">
        <f>=HYPERLINK("https://ucloud.univie.ac.at/index.php/f/1552579218","Open Cytogram")</f>
      </c>
      <c r="J27" s="15" t="s">
        <v>314</v>
      </c>
      <c r="K27" s="25" t="s">
        <v>14</v>
      </c>
      <c r="L27" s="25" t="s">
        <v>314</v>
      </c>
      <c r="M27" s="25" t="s">
        <v>37</v>
      </c>
    </row>
    <row r="28">
      <c r="A28" s="2" t="s">
        <v>38</v>
      </c>
      <c r="B28" s="3" t="n">
        <v>46184</v>
      </c>
      <c r="C28" s="3" t="n">
        <v>46184</v>
      </c>
      <c r="D28" s="4" t="n">
        <f t="shared" si="0"/>
        <v>0</v>
      </c>
      <c r="E28" s="5" t="n">
        <v>1075565.67630723</v>
      </c>
      <c r="F28" s="6" t="n">
        <v>32.6176013561237</v>
      </c>
      <c r="G28" s="7" t="n">
        <v>1813260.5699315399</v>
      </c>
      <c r="H28" s="8" t="n">
        <v>54.9889344069313</v>
      </c>
      <c r="I28" s="14" t="str">
        <f>=HYPERLINK("https://ucloud.univie.ac.at/index.php/f/1525440401","Open Cytogram")</f>
      </c>
      <c r="J28" s="9" t="s">
        <v>314</v>
      </c>
      <c r="K28" s="10" t="s">
        <v>14</v>
      </c>
      <c r="L28" s="10" t="s">
        <v>314</v>
      </c>
      <c r="M28" s="10" t="s">
        <v>28</v>
      </c>
    </row>
    <row r="29">
      <c r="A29" s="2" t="s">
        <v>314</v>
      </c>
      <c r="B29" s="3" t="n">
        <v>46191</v>
      </c>
      <c r="C29" s="3" t="n">
        <v>46184</v>
      </c>
      <c r="D29" s="4" t="n">
        <f t="shared" si="0"/>
        <v>7</v>
      </c>
      <c r="E29" s="5" t="n">
        <v>705965.35120437096</v>
      </c>
      <c r="F29" s="6" t="n">
        <v>19.608778625954201</v>
      </c>
      <c r="G29" s="7" t="n">
        <v>254359.37329484301</v>
      </c>
      <c r="H29" s="8" t="n">
        <v>7.0650445292620896</v>
      </c>
      <c r="I29" s="14" t="str">
        <f>=HYPERLINK("https://ucloud.univie.ac.at/index.php/f/1527059776","Open Cytogram")</f>
      </c>
      <c r="J29" s="9" t="s">
        <v>314</v>
      </c>
      <c r="K29" t="s">
        <v>14</v>
      </c>
      <c r="L29" t="s">
        <v>314</v>
      </c>
      <c r="M29" t="s">
        <v>34</v>
      </c>
    </row>
    <row r="30">
      <c r="A30" s="2" t="s">
        <v>314</v>
      </c>
      <c r="B30" s="3" t="n">
        <v>46198</v>
      </c>
      <c r="C30" s="3" t="n">
        <v>46184</v>
      </c>
      <c r="D30" s="4" t="n">
        <f t="shared" si="0"/>
        <v>14</v>
      </c>
      <c r="E30" s="5" t="n">
        <v>5860502.9455118803</v>
      </c>
      <c r="F30" s="6" t="n">
        <v>44.945232046764502</v>
      </c>
      <c r="G30" s="7" t="n">
        <v>3913650.5631022602</v>
      </c>
      <c r="H30" s="8" t="n">
        <v>30.014477314321599</v>
      </c>
      <c r="I30" s="14" t="str">
        <f>=HYPERLINK("https://ucloud.univie.ac.at/index.php/f/1537345531","Open Cytogram")</f>
      </c>
      <c r="J30" s="9" t="s">
        <v>314</v>
      </c>
      <c r="K30" s="10" t="s">
        <v>14</v>
      </c>
      <c r="L30" s="10" t="s">
        <v>314</v>
      </c>
      <c r="M30" s="10" t="s">
        <v>35</v>
      </c>
    </row>
    <row r="31">
      <c r="A31" s="2" t="s">
        <v>314</v>
      </c>
      <c r="B31" s="3" t="n">
        <v>46205</v>
      </c>
      <c r="C31" s="3" t="n">
        <v>46184</v>
      </c>
      <c r="D31" s="4" t="n">
        <f t="shared" si="0"/>
        <v>21</v>
      </c>
      <c r="E31" s="5" t="n">
        <v>4103739.0036597201</v>
      </c>
      <c r="F31" s="6" t="n">
        <v>43.909670606392901</v>
      </c>
      <c r="G31" s="7" t="n">
        <v>3571175.3349764799</v>
      </c>
      <c r="H31" s="8" t="n">
        <v>38.211283051053996</v>
      </c>
      <c r="I31" s="14" t="str">
        <f>=HYPERLINK("https://ucloud.univie.ac.at/index.php/f/1547933978","Open Cytogram")</f>
      </c>
      <c r="J31" s="9" t="s">
        <v>314</v>
      </c>
      <c r="K31" t="s">
        <v>14</v>
      </c>
      <c r="L31" t="s">
        <v>314</v>
      </c>
      <c r="M31" t="s">
        <v>36</v>
      </c>
    </row>
    <row r="32">
      <c r="A32" s="17" t="s">
        <v>314</v>
      </c>
      <c r="B32" s="18" t="n">
        <v>46212</v>
      </c>
      <c r="C32" s="18" t="n">
        <v>46184</v>
      </c>
      <c r="D32" s="19" t="n">
        <f t="shared" si="0"/>
        <v>28</v>
      </c>
      <c r="E32" s="20" t="n">
        <v>382713.41631953401</v>
      </c>
      <c r="F32" s="21" t="n">
        <v>13.8768898488121</v>
      </c>
      <c r="G32" s="22" t="n">
        <v>31644.591816303899</v>
      </c>
      <c r="H32" s="23" t="n">
        <v>1.14740820734341</v>
      </c>
      <c r="I32" s="24" t="str">
        <f>=HYPERLINK("https://ucloud.univie.ac.at/index.php/f/1552579218","Open Cytogram")</f>
      </c>
      <c r="J32" s="15" t="s">
        <v>314</v>
      </c>
      <c r="K32" s="16" t="s">
        <v>14</v>
      </c>
      <c r="L32" s="16" t="s">
        <v>314</v>
      </c>
      <c r="M32" s="16" t="s">
        <v>37</v>
      </c>
    </row>
    <row r="33">
      <c r="A33" s="2" t="s">
        <v>39</v>
      </c>
      <c r="B33" s="3" t="n">
        <v>46184</v>
      </c>
      <c r="C33" s="3" t="n">
        <v>46184</v>
      </c>
      <c r="D33" s="4" t="n">
        <f t="shared" si="0"/>
        <v>0</v>
      </c>
      <c r="E33" s="5" t="n">
        <v>752544.06690796895</v>
      </c>
      <c r="F33" s="6" t="n">
        <v>36.753445635528301</v>
      </c>
      <c r="G33" s="7" t="n">
        <v>949944.35718591197</v>
      </c>
      <c r="H33" s="8" t="n">
        <v>46.394264234999298</v>
      </c>
      <c r="I33" s="14" t="str">
        <f>=HYPERLINK("https://ucloud.univie.ac.at/index.php/f/1525440401","Open Cytogram")</f>
      </c>
      <c r="J33" s="9" t="s">
        <v>314</v>
      </c>
      <c r="K33" t="s">
        <v>14</v>
      </c>
      <c r="L33" t="s">
        <v>314</v>
      </c>
      <c r="M33" t="s">
        <v>28</v>
      </c>
    </row>
    <row r="34">
      <c r="A34" s="2" t="s">
        <v>314</v>
      </c>
      <c r="B34" s="3" t="n">
        <v>46191</v>
      </c>
      <c r="C34" s="3" t="n">
        <v>46184</v>
      </c>
      <c r="D34" s="4" t="n">
        <f t="shared" si="0"/>
        <v>7</v>
      </c>
      <c r="E34" s="5" t="n">
        <v>1723689.123926</v>
      </c>
      <c r="F34" s="6" t="n">
        <v>30.008223479279302</v>
      </c>
      <c r="G34" s="7" t="n">
        <v>1390602.8765106399</v>
      </c>
      <c r="H34" s="8" t="n">
        <v>24.209424605646799</v>
      </c>
      <c r="I34" s="14" t="str">
        <f>=HYPERLINK("https://ucloud.univie.ac.at/index.php/f/1527059776","Open Cytogram")</f>
      </c>
      <c r="J34" s="9" t="s">
        <v>314</v>
      </c>
      <c r="K34" s="10" t="s">
        <v>14</v>
      </c>
      <c r="L34" s="10" t="s">
        <v>314</v>
      </c>
      <c r="M34" s="10" t="s">
        <v>34</v>
      </c>
    </row>
    <row r="35">
      <c r="A35" s="2" t="s">
        <v>314</v>
      </c>
      <c r="B35" s="3" t="n">
        <v>46198</v>
      </c>
      <c r="C35" s="3" t="n">
        <v>46184</v>
      </c>
      <c r="D35" s="4" t="n">
        <f t="shared" si="0"/>
        <v>14</v>
      </c>
      <c r="E35" s="5" t="n">
        <v>2100995.1473091701</v>
      </c>
      <c r="F35" s="6" t="n">
        <v>23.303849263715001</v>
      </c>
      <c r="G35" s="7" t="n">
        <v>5696610.5413530599</v>
      </c>
      <c r="H35" s="8" t="n">
        <v>63.185749638595503</v>
      </c>
      <c r="I35" s="14" t="str">
        <f>=HYPERLINK("https://ucloud.univie.ac.at/index.php/f/1537345531","Open Cytogram")</f>
      </c>
      <c r="J35" s="9" t="s">
        <v>314</v>
      </c>
      <c r="K35" t="s">
        <v>14</v>
      </c>
      <c r="L35" t="s">
        <v>314</v>
      </c>
      <c r="M35" t="s">
        <v>35</v>
      </c>
    </row>
    <row r="36">
      <c r="A36" s="2" t="s">
        <v>314</v>
      </c>
      <c r="B36" s="3" t="n">
        <v>46205</v>
      </c>
      <c r="C36" s="3" t="n">
        <v>46184</v>
      </c>
      <c r="D36" s="4" t="n">
        <f t="shared" si="0"/>
        <v>21</v>
      </c>
      <c r="E36" s="5" t="n">
        <v>3710470.3354751598</v>
      </c>
      <c r="F36" s="6" t="n">
        <v>38.0328867235079</v>
      </c>
      <c r="G36" s="7" t="n">
        <v>3767904.89097491</v>
      </c>
      <c r="H36" s="8" t="n">
        <v>38.621599675192897</v>
      </c>
      <c r="I36" s="14" t="str">
        <f>=HYPERLINK("https://ucloud.univie.ac.at/index.php/f/1547933978","Open Cytogram")</f>
      </c>
      <c r="J36" s="9" t="s">
        <v>314</v>
      </c>
      <c r="K36" s="10" t="s">
        <v>14</v>
      </c>
      <c r="L36" s="10" t="s">
        <v>314</v>
      </c>
      <c r="M36" s="10" t="s">
        <v>36</v>
      </c>
    </row>
    <row r="37">
      <c r="A37" s="17" t="s">
        <v>314</v>
      </c>
      <c r="B37" s="18" t="n">
        <v>46212</v>
      </c>
      <c r="C37" s="18" t="n">
        <v>46184</v>
      </c>
      <c r="D37" s="19" t="n">
        <f t="shared" si="0"/>
        <v>28</v>
      </c>
      <c r="E37" s="20" t="n">
        <v>2143231.0190638499</v>
      </c>
      <c r="F37" s="21" t="n">
        <v>36.680592857853398</v>
      </c>
      <c r="G37" s="22" t="n">
        <v>839565.34428141802</v>
      </c>
      <c r="H37" s="23" t="n">
        <v>14.368845120859399</v>
      </c>
      <c r="I37" s="24" t="str">
        <f>=HYPERLINK("https://ucloud.univie.ac.at/index.php/f/1552579218","Open Cytogram")</f>
      </c>
      <c r="J37" s="15" t="s">
        <v>314</v>
      </c>
      <c r="K37" s="25" t="s">
        <v>14</v>
      </c>
      <c r="L37" s="25" t="s">
        <v>314</v>
      </c>
      <c r="M37" s="25" t="s">
        <v>37</v>
      </c>
    </row>
    <row r="38">
      <c r="A38" s="17" t="s">
        <v>40</v>
      </c>
      <c r="B38" s="18" t="n">
        <v>46198</v>
      </c>
      <c r="C38" s="18" t="n">
        <v>46185</v>
      </c>
      <c r="D38" s="19" t="n">
        <f t="shared" si="0"/>
        <v>13</v>
      </c>
      <c r="E38" s="20" t="n">
        <v>3670283.8864647802</v>
      </c>
      <c r="F38" s="21" t="n">
        <v>43.857899984257699</v>
      </c>
      <c r="G38" s="22" t="n">
        <v>3235101.86546853</v>
      </c>
      <c r="H38" s="23" t="n">
        <v>38.657711077294401</v>
      </c>
      <c r="I38" s="24" t="str">
        <f>=HYPERLINK("https://ucloud.univie.ac.at/index.php/f/1537345531","Open Cytogram")</f>
      </c>
      <c r="J38" s="15" t="s">
        <v>314</v>
      </c>
      <c r="K38" s="16" t="s">
        <v>14</v>
      </c>
      <c r="L38" s="16" t="s">
        <v>314</v>
      </c>
      <c r="M38" s="16" t="s">
        <v>35</v>
      </c>
    </row>
    <row r="39">
      <c r="A39" s="17" t="s">
        <v>41</v>
      </c>
      <c r="B39" s="18" t="n">
        <v>46198</v>
      </c>
      <c r="C39" s="18" t="n">
        <v>46185</v>
      </c>
      <c r="D39" s="19" t="n">
        <f t="shared" si="0"/>
        <v>13</v>
      </c>
      <c r="E39" s="20" t="n">
        <v>4991638.7816995801</v>
      </c>
      <c r="F39" s="21" t="n">
        <v>48.062408828565999</v>
      </c>
      <c r="G39" s="22" t="n">
        <v>2997091.11331922</v>
      </c>
      <c r="H39" s="23" t="n">
        <v>28.857740851144801</v>
      </c>
      <c r="I39" s="24" t="str">
        <f>=HYPERLINK("https://ucloud.univie.ac.at/index.php/f/1537345531","Open Cytogram")</f>
      </c>
      <c r="J39" s="15" t="s">
        <v>314</v>
      </c>
      <c r="K39" s="25" t="s">
        <v>14</v>
      </c>
      <c r="L39" s="25" t="s">
        <v>314</v>
      </c>
      <c r="M39" s="25" t="s">
        <v>35</v>
      </c>
    </row>
    <row r="40">
      <c r="A40" s="17" t="s">
        <v>42</v>
      </c>
      <c r="B40" s="18" t="n">
        <v>46198</v>
      </c>
      <c r="C40" s="18" t="n">
        <v>46185</v>
      </c>
      <c r="D40" s="19" t="n">
        <f t="shared" si="0"/>
        <v>13</v>
      </c>
      <c r="E40" s="20" t="n">
        <v>14159499.418447001</v>
      </c>
      <c r="F40" s="21" t="n">
        <v>45.559366130558203</v>
      </c>
      <c r="G40" s="22" t="n">
        <v>8854051.6804773193</v>
      </c>
      <c r="H40" s="23" t="n">
        <v>28.488647114474901</v>
      </c>
      <c r="I40" s="24" t="str">
        <f>=HYPERLINK("https://ucloud.univie.ac.at/index.php/f/1537345531","Open Cytogram")</f>
      </c>
      <c r="J40" s="15" t="s">
        <v>314</v>
      </c>
      <c r="K40" s="16" t="s">
        <v>14</v>
      </c>
      <c r="L40" s="16" t="s">
        <v>314</v>
      </c>
      <c r="M40" s="16" t="s">
        <v>35</v>
      </c>
    </row>
    <row r="41">
      <c r="A41" s="17" t="s">
        <v>43</v>
      </c>
      <c r="B41" s="18" t="n">
        <v>46198</v>
      </c>
      <c r="C41" s="18" t="n">
        <v>46185</v>
      </c>
      <c r="D41" s="19" t="n">
        <f t="shared" si="0"/>
        <v>13</v>
      </c>
      <c r="E41" s="20" t="n">
        <v>14152148.6075873</v>
      </c>
      <c r="F41" s="21" t="n">
        <v>53.044496487119403</v>
      </c>
      <c r="G41" s="22" t="n">
        <v>8585747.0840992108</v>
      </c>
      <c r="H41" s="23" t="n">
        <v>32.180741148918599</v>
      </c>
      <c r="I41" s="24" t="str">
        <f>=HYPERLINK("https://ucloud.univie.ac.at/index.php/f/1537345531","Open Cytogram")</f>
      </c>
      <c r="J41" s="15" t="s">
        <v>314</v>
      </c>
      <c r="K41" s="25" t="s">
        <v>14</v>
      </c>
      <c r="L41" s="25" t="s">
        <v>314</v>
      </c>
      <c r="M41" s="25" t="s">
        <v>35</v>
      </c>
    </row>
    <row r="42">
      <c r="A42" s="17" t="s">
        <v>44</v>
      </c>
      <c r="B42" s="18" t="n">
        <v>46198</v>
      </c>
      <c r="C42" s="18" t="n">
        <v>46185</v>
      </c>
      <c r="D42" s="19" t="n">
        <f t="shared" si="0"/>
        <v>13</v>
      </c>
      <c r="E42" s="20" t="n">
        <v>10357292.5012806</v>
      </c>
      <c r="F42" s="21" t="n">
        <v>42.307547948804597</v>
      </c>
      <c r="G42" s="22" t="n">
        <v>8947774.5189381596</v>
      </c>
      <c r="H42" s="23" t="n">
        <v>36.5499380700372</v>
      </c>
      <c r="I42" s="24" t="str">
        <f>=HYPERLINK("https://ucloud.univie.ac.at/index.php/f/1537345531","Open Cytogram")</f>
      </c>
      <c r="J42" s="15" t="s">
        <v>314</v>
      </c>
      <c r="K42" s="16" t="s">
        <v>14</v>
      </c>
      <c r="L42" s="16" t="s">
        <v>314</v>
      </c>
      <c r="M42" s="16" t="s">
        <v>35</v>
      </c>
    </row>
    <row r="43">
      <c r="A43" s="2" t="s">
        <v>45</v>
      </c>
      <c r="B43" s="3" t="n">
        <v>46204</v>
      </c>
      <c r="C43" s="3" t="n">
        <v>46199</v>
      </c>
      <c r="D43" s="4" t="n">
        <f t="shared" si="0"/>
        <v>5</v>
      </c>
      <c r="E43" s="5" t="n">
        <v>4097457.84545469</v>
      </c>
      <c r="F43" s="6" t="n">
        <v>33.573254406027203</v>
      </c>
      <c r="G43" s="7" t="n">
        <v>5841196.6680845702</v>
      </c>
      <c r="H43" s="8" t="n">
        <v>47.860890622897898</v>
      </c>
      <c r="I43" s="14" t="str">
        <f>=HYPERLINK("https://ucloud.univie.ac.at/index.php/f/1543012007","Open Cytogram")</f>
      </c>
      <c r="J43" s="9" t="s">
        <v>314</v>
      </c>
      <c r="K43" t="s">
        <v>14</v>
      </c>
      <c r="L43" t="s">
        <v>314</v>
      </c>
      <c r="M43" t="s">
        <v>46</v>
      </c>
    </row>
    <row r="44">
      <c r="A44" s="17" t="s">
        <v>314</v>
      </c>
      <c r="B44" s="18" t="n">
        <v>46211</v>
      </c>
      <c r="C44" s="18" t="n">
        <v>46199</v>
      </c>
      <c r="D44" s="19" t="n">
        <f t="shared" si="0"/>
        <v>12</v>
      </c>
      <c r="E44" s="20" t="n">
        <v>9374771.5077123605</v>
      </c>
      <c r="F44" s="21" t="n">
        <v>40.989047461002301</v>
      </c>
      <c r="G44" s="22" t="n">
        <v>11787300.119487301</v>
      </c>
      <c r="H44" s="23" t="n">
        <v>51.537277856560998</v>
      </c>
      <c r="I44" s="24" t="str">
        <f>=HYPERLINK("https://ucloud.univie.ac.at/index.php/f/1547933978","Open Cytogram")</f>
      </c>
      <c r="J44" s="15" t="s">
        <v>314</v>
      </c>
      <c r="K44" s="16" t="s">
        <v>14</v>
      </c>
      <c r="L44" s="16" t="s">
        <v>314</v>
      </c>
      <c r="M44" s="16" t="s">
        <v>36</v>
      </c>
    </row>
    <row r="45">
      <c r="A45" s="2" t="s">
        <v>47</v>
      </c>
      <c r="B45" s="3" t="n">
        <v>46204</v>
      </c>
      <c r="C45" s="3" t="n">
        <v>46199</v>
      </c>
      <c r="D45" s="4" t="n">
        <f t="shared" si="0"/>
        <v>5</v>
      </c>
      <c r="E45" s="5" t="n">
        <v>6260610.2407998703</v>
      </c>
      <c r="F45" s="6" t="n">
        <v>39.9494361732012</v>
      </c>
      <c r="G45" s="7" t="n">
        <v>6031065.0134877702</v>
      </c>
      <c r="H45" s="8" t="n">
        <v>38.484690396885902</v>
      </c>
      <c r="I45" s="14" t="str">
        <f>=HYPERLINK("https://ucloud.univie.ac.at/index.php/f/1543012007","Open Cytogram")</f>
      </c>
      <c r="J45" s="9" t="s">
        <v>314</v>
      </c>
      <c r="K45" t="s">
        <v>14</v>
      </c>
      <c r="L45" t="s">
        <v>314</v>
      </c>
      <c r="M45" t="s">
        <v>46</v>
      </c>
    </row>
    <row r="46">
      <c r="A46" s="17" t="s">
        <v>314</v>
      </c>
      <c r="B46" s="18" t="n">
        <v>46211</v>
      </c>
      <c r="C46" s="18" t="n">
        <v>46199</v>
      </c>
      <c r="D46" s="19" t="n">
        <f t="shared" si="0"/>
        <v>12</v>
      </c>
      <c r="E46" s="20" t="n">
        <v>7419767.6298066499</v>
      </c>
      <c r="F46" s="21" t="n">
        <v>44.237811149969097</v>
      </c>
      <c r="G46" s="22" t="n">
        <v>7278300.7060612598</v>
      </c>
      <c r="H46" s="23" t="n">
        <v>43.394363299732603</v>
      </c>
      <c r="I46" s="24" t="str">
        <f>=HYPERLINK("https://ucloud.univie.ac.at/index.php/f/1547933978","Open Cytogram")</f>
      </c>
      <c r="J46" s="15" t="s">
        <v>314</v>
      </c>
      <c r="K46" s="16" t="s">
        <v>14</v>
      </c>
      <c r="L46" s="16" t="s">
        <v>314</v>
      </c>
      <c r="M46" s="16" t="s">
        <v>36</v>
      </c>
    </row>
    <row r="47">
      <c r="A47" s="17" t="s">
        <v>48</v>
      </c>
      <c r="B47" s="18" t="n">
        <v>46238</v>
      </c>
      <c r="C47" s="18"/>
      <c r="D47" s="19" t="str">
        <f t="shared" si="0"/>
        <v/>
      </c>
      <c r="E47" s="20" t="n">
        <v>5206475.1775283003</v>
      </c>
      <c r="F47" s="21" t="n">
        <v>45.480759148579203</v>
      </c>
      <c r="G47" s="22" t="n">
        <v>4767750.8715025699</v>
      </c>
      <c r="H47" s="23" t="n">
        <v>41.648317080843</v>
      </c>
      <c r="I47" s="24" t="str">
        <f>=HYPERLINK("https://ucloud.univie.ac.at/index.php/f/1567854609","Open Cytogram")</f>
      </c>
      <c r="J47" s="15" t="s">
        <v>314</v>
      </c>
      <c r="K47" s="25" t="s">
        <v>14</v>
      </c>
      <c r="L47" s="25" t="s">
        <v>314</v>
      </c>
      <c r="M47" s="25" t="s">
        <v>49</v>
      </c>
    </row>
    <row r="48">
      <c r="A48" s="17" t="s">
        <v>50</v>
      </c>
      <c r="B48" s="18" t="n">
        <v>46238</v>
      </c>
      <c r="C48" s="18"/>
      <c r="D48" s="19" t="str">
        <f t="shared" si="0"/>
        <v/>
      </c>
      <c r="E48" s="20" t="n">
        <v>5373922.6212782003</v>
      </c>
      <c r="F48" s="21" t="n">
        <v>34.463646510911801</v>
      </c>
      <c r="G48" s="22" t="n">
        <v>8176116.5813795999</v>
      </c>
      <c r="H48" s="23" t="n">
        <v>52.434471344443999</v>
      </c>
      <c r="I48" s="24" t="str">
        <f>=HYPERLINK("https://ucloud.univie.ac.at/index.php/f/1567854609","Open Cytogram")</f>
      </c>
      <c r="J48" s="15" t="s">
        <v>314</v>
      </c>
      <c r="K48" s="16" t="s">
        <v>14</v>
      </c>
      <c r="L48" s="16" t="s">
        <v>314</v>
      </c>
      <c r="M48" s="16" t="s">
        <v>49</v>
      </c>
    </row>
    <row r="49">
      <c r="A49" s="17" t="s">
        <v>51</v>
      </c>
      <c r="B49" s="18" t="n">
        <v>46153</v>
      </c>
      <c r="C49" s="18" t="n">
        <v>46136</v>
      </c>
      <c r="D49" s="19" t="n">
        <f t="shared" si="0"/>
        <v>17</v>
      </c>
      <c r="E49" s="20" t="n">
        <v>6485196.17879357</v>
      </c>
      <c r="F49" s="21" t="n">
        <v>50.806925389639602</v>
      </c>
      <c r="G49" s="22" t="n">
        <v>4277441.6641110899</v>
      </c>
      <c r="H49" s="23" t="n">
        <v>33.510730207001401</v>
      </c>
      <c r="I49" s="24" t="str">
        <f>=HYPERLINK("https://ucloud.univie.ac.at/index.php/f/1514655988","Open Cytogram")</f>
      </c>
      <c r="J49" s="15" t="s">
        <v>314</v>
      </c>
      <c r="K49" s="25" t="s">
        <v>14</v>
      </c>
      <c r="L49" s="25" t="s">
        <v>314</v>
      </c>
      <c r="M49" s="25" t="s">
        <v>15</v>
      </c>
    </row>
    <row r="50">
      <c r="A50" s="17" t="s">
        <v>52</v>
      </c>
      <c r="B50" s="18" t="n">
        <v>46153</v>
      </c>
      <c r="C50" s="18" t="n">
        <v>46136</v>
      </c>
      <c r="D50" s="19" t="n">
        <f t="shared" si="0"/>
        <v>17</v>
      </c>
      <c r="E50" s="20" t="n">
        <v>6095627.4305298803</v>
      </c>
      <c r="F50" s="21" t="n">
        <v>58.166170980193598</v>
      </c>
      <c r="G50" s="22" t="n">
        <v>3451005.7820362798</v>
      </c>
      <c r="H50" s="23" t="n">
        <v>32.930456242485597</v>
      </c>
      <c r="I50" s="24" t="str">
        <f>=HYPERLINK("https://ucloud.univie.ac.at/index.php/f/1514655988","Open Cytogram")</f>
      </c>
      <c r="J50" s="15" t="s">
        <v>314</v>
      </c>
      <c r="K50" s="16" t="s">
        <v>14</v>
      </c>
      <c r="L50" s="16" t="s">
        <v>314</v>
      </c>
      <c r="M50" s="16" t="s">
        <v>15</v>
      </c>
    </row>
    <row r="51">
      <c r="A51" s="17" t="s">
        <v>53</v>
      </c>
      <c r="B51" s="18" t="n">
        <v>46153</v>
      </c>
      <c r="C51" s="18" t="n">
        <v>46136</v>
      </c>
      <c r="D51" s="19" t="n">
        <f t="shared" si="0"/>
        <v>17</v>
      </c>
      <c r="E51" s="20" t="n">
        <v>1953130.8482536001</v>
      </c>
      <c r="F51" s="21" t="n">
        <v>48.423596616500099</v>
      </c>
      <c r="G51" s="22" t="n">
        <v>1222479.13120047</v>
      </c>
      <c r="H51" s="23" t="n">
        <v>30.308689443040802</v>
      </c>
      <c r="I51" s="24" t="str">
        <f>=HYPERLINK("https://ucloud.univie.ac.at/index.php/f/1514655988","Open Cytogram")</f>
      </c>
      <c r="J51" s="15" t="s">
        <v>314</v>
      </c>
      <c r="K51" s="25" t="s">
        <v>14</v>
      </c>
      <c r="L51" s="25" t="s">
        <v>314</v>
      </c>
      <c r="M51" s="25" t="s">
        <v>15</v>
      </c>
    </row>
    <row r="52">
      <c r="A52" s="2" t="s">
        <v>54</v>
      </c>
      <c r="B52" s="3" t="n">
        <v>46183</v>
      </c>
      <c r="C52" s="3" t="n">
        <v>46171</v>
      </c>
      <c r="D52" s="4" t="n">
        <f t="shared" si="0"/>
        <v>12</v>
      </c>
      <c r="E52" s="5" t="n">
        <v>12372689.423621399</v>
      </c>
      <c r="F52" s="6" t="n">
        <v>53.118432347630502</v>
      </c>
      <c r="G52" s="7" t="n">
        <v>5728186.3322065696</v>
      </c>
      <c r="H52" s="8" t="n">
        <v>24.5922505402125</v>
      </c>
      <c r="I52" s="14" t="str">
        <f>=HYPERLINK("https://ucloud.univie.ac.at/index.php/f/1518571338","Open Cytogram")</f>
      </c>
      <c r="J52" s="9" t="s">
        <v>314</v>
      </c>
      <c r="K52" s="10" t="s">
        <v>14</v>
      </c>
      <c r="L52" s="10" t="s">
        <v>314</v>
      </c>
      <c r="M52" s="10" t="s">
        <v>24</v>
      </c>
    </row>
    <row r="53">
      <c r="A53" s="17" t="s">
        <v>314</v>
      </c>
      <c r="B53" s="18" t="n">
        <v>46189</v>
      </c>
      <c r="C53" s="18" t="n">
        <v>46171</v>
      </c>
      <c r="D53" s="19" t="n">
        <f t="shared" si="0"/>
        <v>18</v>
      </c>
      <c r="E53" s="20" t="n">
        <v>13834165.118844399</v>
      </c>
      <c r="F53" s="21" t="n">
        <v>58.665117752666603</v>
      </c>
      <c r="G53" s="22" t="n">
        <v>7457499.0906173699</v>
      </c>
      <c r="H53" s="23" t="n">
        <v>31.624247544619301</v>
      </c>
      <c r="I53" s="24" t="str">
        <f>=HYPERLINK("https://ucloud.univie.ac.at/index.php/f/1525440401","Open Cytogram")</f>
      </c>
      <c r="J53" s="15" t="s">
        <v>314</v>
      </c>
      <c r="K53" s="25" t="s">
        <v>14</v>
      </c>
      <c r="L53" s="25" t="s">
        <v>314</v>
      </c>
      <c r="M53" s="25" t="s">
        <v>28</v>
      </c>
    </row>
    <row r="54">
      <c r="A54" s="2" t="s">
        <v>55</v>
      </c>
      <c r="B54" s="3" t="n">
        <v>46183</v>
      </c>
      <c r="C54" s="3" t="n">
        <v>46171</v>
      </c>
      <c r="D54" s="4" t="n">
        <f t="shared" si="0"/>
        <v>12</v>
      </c>
      <c r="E54" s="5" t="n">
        <v>7693780.0839043204</v>
      </c>
      <c r="F54" s="6" t="n">
        <v>48.7700470276137</v>
      </c>
      <c r="G54" s="7" t="n">
        <v>5255054.3903537402</v>
      </c>
      <c r="H54" s="8" t="n">
        <v>33.311226335463601</v>
      </c>
      <c r="I54" s="14" t="str">
        <f>=HYPERLINK("https://ucloud.univie.ac.at/index.php/f/1518571338","Open Cytogram")</f>
      </c>
      <c r="J54" s="9" t="s">
        <v>314</v>
      </c>
      <c r="K54" s="10" t="s">
        <v>14</v>
      </c>
      <c r="L54" s="10" t="s">
        <v>314</v>
      </c>
      <c r="M54" s="10" t="s">
        <v>24</v>
      </c>
    </row>
    <row r="55">
      <c r="A55" s="17" t="s">
        <v>314</v>
      </c>
      <c r="B55" s="18" t="n">
        <v>46189</v>
      </c>
      <c r="C55" s="18" t="n">
        <v>46171</v>
      </c>
      <c r="D55" s="19" t="n">
        <f t="shared" si="0"/>
        <v>18</v>
      </c>
      <c r="E55" s="20" t="n">
        <v>15217581.6307288</v>
      </c>
      <c r="F55" s="21" t="n">
        <v>53.262148616256297</v>
      </c>
      <c r="G55" s="22" t="n">
        <v>11120875.668442801</v>
      </c>
      <c r="H55" s="23" t="n">
        <v>38.923512747875399</v>
      </c>
      <c r="I55" s="24" t="str">
        <f>=HYPERLINK("https://ucloud.univie.ac.at/index.php/f/1525440401","Open Cytogram")</f>
      </c>
      <c r="J55" s="15" t="s">
        <v>314</v>
      </c>
      <c r="K55" s="25" t="s">
        <v>14</v>
      </c>
      <c r="L55" s="25" t="s">
        <v>314</v>
      </c>
      <c r="M55" s="25" t="s">
        <v>28</v>
      </c>
    </row>
    <row r="56">
      <c r="A56" s="17" t="s">
        <v>56</v>
      </c>
      <c r="B56" s="18" t="n">
        <v>46197</v>
      </c>
      <c r="C56" s="18" t="n">
        <v>46171</v>
      </c>
      <c r="D56" s="19" t="n">
        <f t="shared" si="0"/>
        <v>26</v>
      </c>
      <c r="E56" s="20" t="n">
        <v>22487968.122457601</v>
      </c>
      <c r="F56" s="21" t="n">
        <v>55.005169236301498</v>
      </c>
      <c r="G56" s="22" t="n">
        <v>14771454.422514901</v>
      </c>
      <c r="H56" s="23" t="n">
        <v>36.130714253607202</v>
      </c>
      <c r="I56" s="24" t="str">
        <f>=HYPERLINK("https://ucloud.univie.ac.at/index.php/f/1537345531","Open Cytogram")</f>
      </c>
      <c r="J56" s="15" t="s">
        <v>314</v>
      </c>
      <c r="K56" s="16" t="s">
        <v>14</v>
      </c>
      <c r="L56" s="16" t="s">
        <v>314</v>
      </c>
      <c r="M56" s="16" t="s">
        <v>35</v>
      </c>
    </row>
    <row r="57">
      <c r="A57" s="17" t="s">
        <v>57</v>
      </c>
      <c r="B57" s="18" t="n">
        <v>46197</v>
      </c>
      <c r="C57" s="18" t="n">
        <v>46171</v>
      </c>
      <c r="D57" s="19" t="n">
        <f t="shared" si="0"/>
        <v>26</v>
      </c>
      <c r="E57" s="20" t="n">
        <v>18973361.680176001</v>
      </c>
      <c r="F57" s="21" t="n">
        <v>52.150524056067702</v>
      </c>
      <c r="G57" s="22" t="n">
        <v>13225946.439268401</v>
      </c>
      <c r="H57" s="23" t="n">
        <v>36.353074883192299</v>
      </c>
      <c r="I57" s="24" t="str">
        <f>=HYPERLINK("https://ucloud.univie.ac.at/index.php/f/1537345531","Open Cytogram")</f>
      </c>
      <c r="J57" s="15" t="s">
        <v>314</v>
      </c>
      <c r="K57" s="25" t="s">
        <v>14</v>
      </c>
      <c r="L57" s="25" t="s">
        <v>314</v>
      </c>
      <c r="M57" s="25" t="s">
        <v>35</v>
      </c>
    </row>
    <row r="58">
      <c r="A58" s="2" t="s">
        <v>58</v>
      </c>
      <c r="B58" s="3" t="n">
        <v>46183</v>
      </c>
      <c r="C58" s="3" t="n">
        <v>46171</v>
      </c>
      <c r="D58" s="4" t="n">
        <f t="shared" si="0"/>
        <v>12</v>
      </c>
      <c r="E58" s="5" t="n">
        <v>3460251.1985713802</v>
      </c>
      <c r="F58" s="6" t="n">
        <v>45.074959732375198</v>
      </c>
      <c r="G58" s="7" t="n">
        <v>2544302.35189072</v>
      </c>
      <c r="H58" s="8" t="n">
        <v>33.143352744393503</v>
      </c>
      <c r="I58" s="14" t="str">
        <f>=HYPERLINK("https://ucloud.univie.ac.at/index.php/f/1518571338","Open Cytogram")</f>
      </c>
      <c r="J58" s="9" t="s">
        <v>314</v>
      </c>
      <c r="K58" s="10" t="s">
        <v>14</v>
      </c>
      <c r="L58" s="10" t="s">
        <v>314</v>
      </c>
      <c r="M58" s="10" t="s">
        <v>24</v>
      </c>
    </row>
    <row r="59">
      <c r="A59" s="17" t="s">
        <v>314</v>
      </c>
      <c r="B59" s="18" t="n">
        <v>46189</v>
      </c>
      <c r="C59" s="18" t="n">
        <v>46171</v>
      </c>
      <c r="D59" s="19" t="n">
        <f t="shared" si="0"/>
        <v>18</v>
      </c>
      <c r="E59" s="20" t="n">
        <v>8789239.8282054905</v>
      </c>
      <c r="F59" s="21" t="n">
        <v>59.688808084224803</v>
      </c>
      <c r="G59" s="22" t="n">
        <v>3993354.4136934201</v>
      </c>
      <c r="H59" s="23" t="n">
        <v>27.119360703564301</v>
      </c>
      <c r="I59" s="24" t="str">
        <f>=HYPERLINK("https://ucloud.univie.ac.at/index.php/f/1525440401","Open Cytogram")</f>
      </c>
      <c r="J59" s="15" t="s">
        <v>314</v>
      </c>
      <c r="K59" s="25" t="s">
        <v>14</v>
      </c>
      <c r="L59" s="25" t="s">
        <v>314</v>
      </c>
      <c r="M59" s="25" t="s">
        <v>28</v>
      </c>
    </row>
    <row r="60">
      <c r="A60" s="2" t="s">
        <v>59</v>
      </c>
      <c r="B60" s="3" t="n">
        <v>46183</v>
      </c>
      <c r="C60" s="3" t="n">
        <v>46171</v>
      </c>
      <c r="D60" s="4" t="n">
        <f t="shared" si="0"/>
        <v>12</v>
      </c>
      <c r="E60" s="5" t="n">
        <v>8180660.9089589398</v>
      </c>
      <c r="F60" s="6" t="n">
        <v>43.01406612529</v>
      </c>
      <c r="G60" s="7" t="n">
        <v>9281068.3940578494</v>
      </c>
      <c r="H60" s="8" t="n">
        <v>48.800029002320201</v>
      </c>
      <c r="I60" s="14" t="str">
        <f>=HYPERLINK("https://ucloud.univie.ac.at/index.php/f/1518571338","Open Cytogram")</f>
      </c>
      <c r="J60" s="9" t="s">
        <v>314</v>
      </c>
      <c r="K60" s="10" t="s">
        <v>14</v>
      </c>
      <c r="L60" s="10" t="s">
        <v>314</v>
      </c>
      <c r="M60" s="10" t="s">
        <v>24</v>
      </c>
    </row>
    <row r="61">
      <c r="A61" s="17" t="s">
        <v>314</v>
      </c>
      <c r="B61" s="18" t="n">
        <v>46189</v>
      </c>
      <c r="C61" s="18" t="n">
        <v>46171</v>
      </c>
      <c r="D61" s="19" t="n">
        <f t="shared" si="0"/>
        <v>18</v>
      </c>
      <c r="E61" s="20" t="n">
        <v>5823797.5032254802</v>
      </c>
      <c r="F61" s="21" t="n">
        <v>27.598619183902301</v>
      </c>
      <c r="G61" s="22" t="n">
        <v>14072620.8002358</v>
      </c>
      <c r="H61" s="23" t="n">
        <v>66.689286873395702</v>
      </c>
      <c r="I61" s="24" t="str">
        <f>=HYPERLINK("https://ucloud.univie.ac.at/index.php/f/1525440401","Open Cytogram")</f>
      </c>
      <c r="J61" s="15" t="s">
        <v>314</v>
      </c>
      <c r="K61" s="25" t="s">
        <v>14</v>
      </c>
      <c r="L61" s="25" t="s">
        <v>314</v>
      </c>
      <c r="M61" s="25" t="s">
        <v>28</v>
      </c>
    </row>
    <row r="62">
      <c r="A62" s="2" t="s">
        <v>60</v>
      </c>
      <c r="B62" s="3" t="n">
        <v>46198</v>
      </c>
      <c r="C62" s="3" t="n">
        <v>46185</v>
      </c>
      <c r="D62" s="4" t="n">
        <f t="shared" si="0"/>
        <v>13</v>
      </c>
      <c r="E62" s="5" t="n">
        <v>6352019.4341157796</v>
      </c>
      <c r="F62" s="6" t="n">
        <v>41.687270095881303</v>
      </c>
      <c r="G62" s="7" t="n">
        <v>6021232.9454304501</v>
      </c>
      <c r="H62" s="8" t="n">
        <v>39.516372188385702</v>
      </c>
      <c r="I62" s="14" t="str">
        <f>=HYPERLINK("https://ucloud.univie.ac.at/index.php/f/1537345531","Open Cytogram")</f>
      </c>
      <c r="J62" s="9" t="s">
        <v>314</v>
      </c>
      <c r="K62" s="10" t="s">
        <v>14</v>
      </c>
      <c r="L62" s="10" t="s">
        <v>314</v>
      </c>
      <c r="M62" s="10" t="s">
        <v>35</v>
      </c>
    </row>
    <row r="63">
      <c r="A63" s="17" t="s">
        <v>314</v>
      </c>
      <c r="B63" s="18" t="n">
        <v>46204</v>
      </c>
      <c r="C63" s="18" t="n">
        <v>46185</v>
      </c>
      <c r="D63" s="19" t="n">
        <f t="shared" si="0"/>
        <v>19</v>
      </c>
      <c r="E63" s="20" t="n">
        <v>8148802.2810154902</v>
      </c>
      <c r="F63" s="21" t="n">
        <v>42.886647712032598</v>
      </c>
      <c r="G63" s="22" t="n">
        <v>6086756.2475557001</v>
      </c>
      <c r="H63" s="23" t="n">
        <v>32.034225631672101</v>
      </c>
      <c r="I63" s="24" t="str">
        <f>=HYPERLINK("https://ucloud.univie.ac.at/index.php/f/1543012007","Open Cytogram")</f>
      </c>
      <c r="J63" s="15" t="s">
        <v>314</v>
      </c>
      <c r="K63" s="25" t="s">
        <v>14</v>
      </c>
      <c r="L63" s="25" t="s">
        <v>314</v>
      </c>
      <c r="M63" s="25" t="s">
        <v>46</v>
      </c>
    </row>
    <row r="64">
      <c r="A64" s="2" t="s">
        <v>61</v>
      </c>
      <c r="B64" s="3" t="n">
        <v>46198</v>
      </c>
      <c r="C64" s="3" t="n">
        <v>46185</v>
      </c>
      <c r="D64" s="4" t="n">
        <f t="shared" si="0"/>
        <v>13</v>
      </c>
      <c r="E64" s="5" t="n">
        <v>11216418.520505</v>
      </c>
      <c r="F64" s="6" t="n">
        <v>45.858221571058301</v>
      </c>
      <c r="G64" s="7" t="n">
        <v>9563404.9284358509</v>
      </c>
      <c r="H64" s="8" t="n">
        <v>39.099891055261303</v>
      </c>
      <c r="I64" s="14" t="str">
        <f>=HYPERLINK("https://ucloud.univie.ac.at/index.php/f/1537345531","Open Cytogram")</f>
      </c>
      <c r="J64" s="9" t="s">
        <v>314</v>
      </c>
      <c r="K64" s="10" t="s">
        <v>14</v>
      </c>
      <c r="L64" s="10" t="s">
        <v>314</v>
      </c>
      <c r="M64" s="10" t="s">
        <v>35</v>
      </c>
    </row>
    <row r="65">
      <c r="A65" s="17" t="s">
        <v>314</v>
      </c>
      <c r="B65" s="18" t="n">
        <v>46204</v>
      </c>
      <c r="C65" s="18" t="n">
        <v>46185</v>
      </c>
      <c r="D65" s="19" t="n">
        <f t="shared" si="0"/>
        <v>19</v>
      </c>
      <c r="E65" s="20" t="n">
        <v>9211366.9710693806</v>
      </c>
      <c r="F65" s="21" t="n">
        <v>41.9456456370457</v>
      </c>
      <c r="G65" s="22" t="n">
        <v>7002701.6606033696</v>
      </c>
      <c r="H65" s="23" t="n">
        <v>31.888083851198498</v>
      </c>
      <c r="I65" s="24" t="str">
        <f>=HYPERLINK("https://ucloud.univie.ac.at/index.php/f/1543012007","Open Cytogram")</f>
      </c>
      <c r="J65" s="15" t="s">
        <v>314</v>
      </c>
      <c r="K65" s="25" t="s">
        <v>14</v>
      </c>
      <c r="L65" s="25" t="s">
        <v>314</v>
      </c>
      <c r="M65" s="25" t="s">
        <v>46</v>
      </c>
    </row>
    <row r="66">
      <c r="A66" s="2" t="s">
        <v>62</v>
      </c>
      <c r="B66" s="3" t="n">
        <v>46198</v>
      </c>
      <c r="C66" s="3" t="n">
        <v>46185</v>
      </c>
      <c r="D66" s="4" t="n">
        <f t="shared" ref="D66:D129" si="8">IF(OR(C66="",B66=""),"",B66-C66)</f>
        <v>13</v>
      </c>
      <c r="E66" s="5" t="n">
        <v>4253234.57553895</v>
      </c>
      <c r="F66" s="6" t="n">
        <v>38.7458745874588</v>
      </c>
      <c r="G66" s="7" t="n">
        <v>5351948.41664147</v>
      </c>
      <c r="H66" s="8" t="n">
        <v>48.754875487548802</v>
      </c>
      <c r="I66" s="14" t="str">
        <f>=HYPERLINK("https://ucloud.univie.ac.at/index.php/f/1537345531","Open Cytogram")</f>
      </c>
      <c r="J66" s="9" t="s">
        <v>314</v>
      </c>
      <c r="K66" s="10" t="s">
        <v>14</v>
      </c>
      <c r="L66" s="10" t="s">
        <v>314</v>
      </c>
      <c r="M66" s="10" t="s">
        <v>35</v>
      </c>
    </row>
    <row r="67">
      <c r="A67" s="17" t="s">
        <v>314</v>
      </c>
      <c r="B67" s="18" t="n">
        <v>46204</v>
      </c>
      <c r="C67" s="18" t="n">
        <v>46185</v>
      </c>
      <c r="D67" s="19" t="n">
        <f t="shared" si="8"/>
        <v>19</v>
      </c>
      <c r="E67" s="20" t="n">
        <v>3342987.0460211299</v>
      </c>
      <c r="F67" s="21" t="n">
        <v>32.902391725921099</v>
      </c>
      <c r="G67" s="22" t="n">
        <v>2971087.9468444199</v>
      </c>
      <c r="H67" s="23" t="n">
        <v>29.242081447963798</v>
      </c>
      <c r="I67" s="24" t="str">
        <f>=HYPERLINK("https://ucloud.univie.ac.at/index.php/f/1543012007","Open Cytogram")</f>
      </c>
      <c r="J67" s="15" t="s">
        <v>314</v>
      </c>
      <c r="K67" s="25" t="s">
        <v>14</v>
      </c>
      <c r="L67" s="25" t="s">
        <v>314</v>
      </c>
      <c r="M67" s="25" t="s">
        <v>46</v>
      </c>
    </row>
    <row r="68">
      <c r="A68" s="2" t="s">
        <v>63</v>
      </c>
      <c r="B68" s="3" t="n">
        <v>46204</v>
      </c>
      <c r="C68" s="3" t="n">
        <v>46197</v>
      </c>
      <c r="D68" s="4" t="n">
        <f t="shared" si="8"/>
        <v>7</v>
      </c>
      <c r="E68" s="5" t="n">
        <v>2416762.8004612802</v>
      </c>
      <c r="F68" s="6" t="n">
        <v>30.2848384212543</v>
      </c>
      <c r="G68" s="7" t="n">
        <v>3273994.98738155</v>
      </c>
      <c r="H68" s="8" t="n">
        <v>41.026951079320497</v>
      </c>
      <c r="I68" s="14" t="str">
        <f>=HYPERLINK("https://ucloud.univie.ac.at/index.php/f/1543012007","Open Cytogram")</f>
      </c>
      <c r="J68" s="9" t="s">
        <v>314</v>
      </c>
      <c r="K68" s="10" t="s">
        <v>14</v>
      </c>
      <c r="L68" s="10" t="s">
        <v>314</v>
      </c>
      <c r="M68" s="10" t="s">
        <v>46</v>
      </c>
    </row>
    <row r="69">
      <c r="A69" s="17" t="s">
        <v>314</v>
      </c>
      <c r="B69" s="18" t="n">
        <v>46211</v>
      </c>
      <c r="C69" s="18" t="n">
        <v>46197</v>
      </c>
      <c r="D69" s="19" t="n">
        <f t="shared" si="8"/>
        <v>14</v>
      </c>
      <c r="E69" s="20" t="n">
        <v>9746726.0047794897</v>
      </c>
      <c r="F69" s="21" t="n">
        <v>60.5167316508848</v>
      </c>
      <c r="G69" s="22" t="n">
        <v>4884404.3232674301</v>
      </c>
      <c r="H69" s="23" t="n">
        <v>30.326920604995902</v>
      </c>
      <c r="I69" s="24" t="str">
        <f>=HYPERLINK("https://ucloud.univie.ac.at/index.php/f/1547933978","Open Cytogram")</f>
      </c>
      <c r="J69" s="15" t="s">
        <v>314</v>
      </c>
      <c r="K69" s="25" t="s">
        <v>14</v>
      </c>
      <c r="L69" s="25" t="s">
        <v>314</v>
      </c>
      <c r="M69" s="25" t="s">
        <v>36</v>
      </c>
    </row>
    <row r="70">
      <c r="A70" s="2" t="s">
        <v>64</v>
      </c>
      <c r="B70" s="3" t="n">
        <v>46204</v>
      </c>
      <c r="C70" s="3" t="n">
        <v>46197</v>
      </c>
      <c r="D70" s="4" t="n">
        <f t="shared" si="8"/>
        <v>7</v>
      </c>
      <c r="E70" s="5" t="n">
        <v>3576727.40059833</v>
      </c>
      <c r="F70" s="6" t="n">
        <v>31.372373714796598</v>
      </c>
      <c r="G70" s="7" t="n">
        <v>4066501.55733458</v>
      </c>
      <c r="H70" s="8" t="n">
        <v>35.668305766651798</v>
      </c>
      <c r="I70" s="14" t="str">
        <f>=HYPERLINK("https://ucloud.univie.ac.at/index.php/f/1543012007","Open Cytogram")</f>
      </c>
      <c r="J70" s="9" t="s">
        <v>314</v>
      </c>
      <c r="K70" s="10" t="s">
        <v>14</v>
      </c>
      <c r="L70" s="10" t="s">
        <v>314</v>
      </c>
      <c r="M70" s="10" t="s">
        <v>46</v>
      </c>
    </row>
    <row r="71">
      <c r="A71" s="17" t="s">
        <v>314</v>
      </c>
      <c r="B71" s="18" t="n">
        <v>46211</v>
      </c>
      <c r="C71" s="18" t="n">
        <v>46197</v>
      </c>
      <c r="D71" s="19" t="n">
        <f t="shared" si="8"/>
        <v>14</v>
      </c>
      <c r="E71" s="20" t="n">
        <v>6995431.7864967203</v>
      </c>
      <c r="F71" s="21" t="n">
        <v>61.462706477812198</v>
      </c>
      <c r="G71" s="22" t="n">
        <v>3104962.4775941102</v>
      </c>
      <c r="H71" s="23" t="n">
        <v>27.280574410483801</v>
      </c>
      <c r="I71" s="24" t="str">
        <f>=HYPERLINK("https://ucloud.univie.ac.at/index.php/f/1547933978","Open Cytogram")</f>
      </c>
      <c r="J71" s="15" t="s">
        <v>314</v>
      </c>
      <c r="K71" s="25" t="s">
        <v>14</v>
      </c>
      <c r="L71" s="25" t="s">
        <v>314</v>
      </c>
      <c r="M71" s="25" t="s">
        <v>36</v>
      </c>
    </row>
    <row r="72">
      <c r="A72" s="2" t="s">
        <v>65</v>
      </c>
      <c r="B72" s="3" t="n">
        <v>46204</v>
      </c>
      <c r="C72" s="3" t="n">
        <v>46197</v>
      </c>
      <c r="D72" s="4" t="n">
        <f t="shared" si="8"/>
        <v>7</v>
      </c>
      <c r="E72" s="5" t="n">
        <v>2379558.3119683098</v>
      </c>
      <c r="F72" s="6" t="n">
        <v>30.120637378233699</v>
      </c>
      <c r="G72" s="7" t="n">
        <v>1847483.16146608</v>
      </c>
      <c r="H72" s="8" t="n">
        <v>23.385588026578901</v>
      </c>
      <c r="I72" s="14" t="str">
        <f>=HYPERLINK("https://ucloud.univie.ac.at/index.php/f/1543012007","Open Cytogram")</f>
      </c>
      <c r="J72" s="9" t="s">
        <v>314</v>
      </c>
      <c r="K72" s="10" t="s">
        <v>14</v>
      </c>
      <c r="L72" s="10" t="s">
        <v>314</v>
      </c>
      <c r="M72" s="10" t="s">
        <v>46</v>
      </c>
    </row>
    <row r="73">
      <c r="A73" s="17" t="s">
        <v>314</v>
      </c>
      <c r="B73" s="18" t="n">
        <v>46211</v>
      </c>
      <c r="C73" s="18" t="n">
        <v>46197</v>
      </c>
      <c r="D73" s="19" t="n">
        <f t="shared" si="8"/>
        <v>14</v>
      </c>
      <c r="E73" s="20" t="n">
        <v>11595457.1692375</v>
      </c>
      <c r="F73" s="21" t="n">
        <v>43.141030578448699</v>
      </c>
      <c r="G73" s="22" t="n">
        <v>12652663.643276099</v>
      </c>
      <c r="H73" s="23" t="n">
        <v>47.0743793165421</v>
      </c>
      <c r="I73" s="24" t="str">
        <f>=HYPERLINK("https://ucloud.univie.ac.at/index.php/f/1547933978","Open Cytogram")</f>
      </c>
      <c r="J73" s="15" t="s">
        <v>314</v>
      </c>
      <c r="K73" s="25" t="s">
        <v>14</v>
      </c>
      <c r="L73" s="25" t="s">
        <v>314</v>
      </c>
      <c r="M73" s="25" t="s">
        <v>36</v>
      </c>
    </row>
    <row r="74">
      <c r="A74" s="17" t="s">
        <v>66</v>
      </c>
      <c r="B74" s="18" t="n">
        <v>46211</v>
      </c>
      <c r="C74" s="18" t="n">
        <v>46197</v>
      </c>
      <c r="D74" s="19" t="n">
        <f t="shared" si="8"/>
        <v>14</v>
      </c>
      <c r="E74" s="20" t="n">
        <v>8222333.64110363</v>
      </c>
      <c r="F74" s="21" t="n">
        <v>42.274259357814401</v>
      </c>
      <c r="G74" s="22" t="n">
        <v>9775019.3895285707</v>
      </c>
      <c r="H74" s="23" t="n">
        <v>50.2572290225297</v>
      </c>
      <c r="I74" s="24" t="str">
        <f>=HYPERLINK("https://ucloud.univie.ac.at/index.php/f/1547933978","Open Cytogram")</f>
      </c>
      <c r="J74" s="15" t="s">
        <v>314</v>
      </c>
      <c r="K74" s="16" t="s">
        <v>14</v>
      </c>
      <c r="L74" s="16" t="s">
        <v>314</v>
      </c>
      <c r="M74" s="16" t="s">
        <v>36</v>
      </c>
    </row>
    <row r="75">
      <c r="A75" s="2" t="s">
        <v>67</v>
      </c>
      <c r="B75" s="3" t="n">
        <v>46204</v>
      </c>
      <c r="C75" s="3" t="n">
        <v>46197</v>
      </c>
      <c r="D75" s="4" t="n">
        <f t="shared" si="8"/>
        <v>7</v>
      </c>
      <c r="E75" s="5" t="n">
        <v>5373245.8616193803</v>
      </c>
      <c r="F75" s="6" t="n">
        <v>46.1765030742609</v>
      </c>
      <c r="G75" s="7" t="n">
        <v>2852849.9595378302</v>
      </c>
      <c r="H75" s="8" t="n">
        <v>24.516770369279499</v>
      </c>
      <c r="I75" s="14" t="str">
        <f>=HYPERLINK("https://ucloud.univie.ac.at/index.php/f/1543012007","Open Cytogram")</f>
      </c>
      <c r="J75" s="14" t="str">
        <f>=HYPERLINK("https://ucloud.univie.ac.at/index.php/f/1544896277","Open Microscopy")</f>
      </c>
      <c r="K75" t="s">
        <v>68</v>
      </c>
      <c r="L75" t="s">
        <v>314</v>
      </c>
      <c r="M75" t="s">
        <v>46</v>
      </c>
    </row>
    <row r="76">
      <c r="A76" s="17" t="s">
        <v>314</v>
      </c>
      <c r="B76" s="18" t="n">
        <v>46211</v>
      </c>
      <c r="C76" s="18" t="n">
        <v>46197</v>
      </c>
      <c r="D76" s="19" t="n">
        <f t="shared" si="8"/>
        <v>14</v>
      </c>
      <c r="E76" s="20" t="n">
        <v>21352534.412339799</v>
      </c>
      <c r="F76" s="21" t="n">
        <v>73.381397334345195</v>
      </c>
      <c r="G76" s="22" t="n">
        <v>5972664.5122745996</v>
      </c>
      <c r="H76" s="23" t="n">
        <v>20.526016221600301</v>
      </c>
      <c r="I76" s="24" t="str">
        <f>=HYPERLINK("https://ucloud.univie.ac.at/index.php/f/1547933978","Open Cytogram")</f>
      </c>
      <c r="J76" s="15" t="s">
        <v>314</v>
      </c>
      <c r="K76" s="16" t="s">
        <v>14</v>
      </c>
      <c r="L76" s="16" t="s">
        <v>314</v>
      </c>
      <c r="M76" s="16" t="s">
        <v>36</v>
      </c>
    </row>
    <row r="77">
      <c r="A77" s="2" t="s">
        <v>69</v>
      </c>
      <c r="B77" s="3" t="n">
        <v>46204</v>
      </c>
      <c r="C77" s="3" t="n">
        <v>46197</v>
      </c>
      <c r="D77" s="4" t="n">
        <f t="shared" si="8"/>
        <v>7</v>
      </c>
      <c r="E77" s="5" t="n">
        <v>9409467.6466948893</v>
      </c>
      <c r="F77" s="6" t="n">
        <v>43.0747085072693</v>
      </c>
      <c r="G77" s="7" t="n">
        <v>5546190.0264805704</v>
      </c>
      <c r="H77" s="8" t="n">
        <v>25.389376709371</v>
      </c>
      <c r="I77" s="14" t="str">
        <f>=HYPERLINK("https://ucloud.univie.ac.at/index.php/f/1543012007","Open Cytogram")</f>
      </c>
      <c r="J77" s="9" t="s">
        <v>314</v>
      </c>
      <c r="K77" t="s">
        <v>14</v>
      </c>
      <c r="L77" t="s">
        <v>314</v>
      </c>
      <c r="M77" t="s">
        <v>46</v>
      </c>
    </row>
    <row r="78">
      <c r="A78" s="17" t="s">
        <v>314</v>
      </c>
      <c r="B78" s="18" t="n">
        <v>46211</v>
      </c>
      <c r="C78" s="18" t="n">
        <v>46197</v>
      </c>
      <c r="D78" s="19" t="n">
        <f t="shared" si="8"/>
        <v>14</v>
      </c>
      <c r="E78" s="20" t="n">
        <v>9002817.0106452294</v>
      </c>
      <c r="F78" s="21" t="n">
        <v>42.993672554706002</v>
      </c>
      <c r="G78" s="22" t="n">
        <v>10179407.7666739</v>
      </c>
      <c r="H78" s="23" t="n">
        <v>48.6125757975217</v>
      </c>
      <c r="I78" s="24" t="str">
        <f>=HYPERLINK("https://ucloud.univie.ac.at/index.php/f/1547933978","Open Cytogram")</f>
      </c>
      <c r="J78" s="15" t="s">
        <v>314</v>
      </c>
      <c r="K78" s="16" t="s">
        <v>14</v>
      </c>
      <c r="L78" s="16" t="s">
        <v>314</v>
      </c>
      <c r="M78" s="16" t="s">
        <v>36</v>
      </c>
    </row>
    <row r="79">
      <c r="A79" s="2" t="s">
        <v>70</v>
      </c>
      <c r="B79" s="3" t="n">
        <v>46211</v>
      </c>
      <c r="C79" s="3" t="n">
        <v>46203</v>
      </c>
      <c r="D79" s="4" t="n">
        <f t="shared" si="8"/>
        <v>8</v>
      </c>
      <c r="E79" s="5" t="n">
        <v>2049402.1719321799</v>
      </c>
      <c r="F79" s="6" t="n">
        <v>30.265149391782</v>
      </c>
      <c r="G79" s="7" t="n">
        <v>3858903.9599671401</v>
      </c>
      <c r="H79" s="8" t="n">
        <v>56.987499299288103</v>
      </c>
      <c r="I79" s="14" t="str">
        <f>=HYPERLINK("https://ucloud.univie.ac.at/index.php/f/1547933978","Open Cytogram")</f>
      </c>
      <c r="J79" s="9" t="s">
        <v>314</v>
      </c>
      <c r="K79" t="s">
        <v>14</v>
      </c>
      <c r="L79" t="s">
        <v>314</v>
      </c>
      <c r="M79" t="s">
        <v>36</v>
      </c>
    </row>
    <row r="80">
      <c r="A80" s="17" t="s">
        <v>314</v>
      </c>
      <c r="B80" s="18" t="n">
        <v>46218</v>
      </c>
      <c r="C80" s="18" t="n">
        <v>46203</v>
      </c>
      <c r="D80" s="19" t="n">
        <f t="shared" si="8"/>
        <v>15</v>
      </c>
      <c r="E80" s="20" t="n">
        <v>14422891.9195637</v>
      </c>
      <c r="F80" s="21" t="n">
        <v>68.459924126241006</v>
      </c>
      <c r="G80" s="22" t="n">
        <v>5072627.0820089001</v>
      </c>
      <c r="H80" s="23" t="n">
        <v>24.077810961336699</v>
      </c>
      <c r="I80" s="24" t="str">
        <f>=HYPERLINK("https://ucloud.univie.ac.at/index.php/f/1552579218","Open Cytogram")</f>
      </c>
      <c r="J80" s="15" t="s">
        <v>314</v>
      </c>
      <c r="K80" s="16" t="s">
        <v>14</v>
      </c>
      <c r="L80" s="16" t="s">
        <v>314</v>
      </c>
      <c r="M80" s="16" t="s">
        <v>37</v>
      </c>
    </row>
    <row r="81">
      <c r="A81" s="2" t="s">
        <v>71</v>
      </c>
      <c r="B81" s="3" t="n">
        <v>46211</v>
      </c>
      <c r="C81" s="3" t="n">
        <v>46203</v>
      </c>
      <c r="D81" s="4" t="n">
        <f t="shared" si="8"/>
        <v>8</v>
      </c>
      <c r="E81" s="5" t="n">
        <v>3179210.3302194201</v>
      </c>
      <c r="F81" s="6" t="n">
        <v>14.4365755828528</v>
      </c>
      <c r="G81" s="7" t="n">
        <v>17015365.555072799</v>
      </c>
      <c r="H81" s="8" t="n">
        <v>77.265605414890899</v>
      </c>
      <c r="I81" s="14" t="str">
        <f>=HYPERLINK("https://ucloud.univie.ac.at/index.php/f/1547933978","Open Cytogram")</f>
      </c>
      <c r="J81" s="9" t="s">
        <v>314</v>
      </c>
      <c r="K81" t="s">
        <v>14</v>
      </c>
      <c r="L81" t="s">
        <v>314</v>
      </c>
      <c r="M81" t="s">
        <v>36</v>
      </c>
    </row>
    <row r="82">
      <c r="A82" s="2" t="s">
        <v>314</v>
      </c>
      <c r="B82" s="3" t="n">
        <v>46218</v>
      </c>
      <c r="C82" s="3" t="n">
        <v>46203</v>
      </c>
      <c r="D82" s="4" t="n">
        <f t="shared" si="8"/>
        <v>15</v>
      </c>
      <c r="E82" s="5" t="n">
        <v>16708379.9511493</v>
      </c>
      <c r="F82" s="6" t="n">
        <v>71.473776096602904</v>
      </c>
      <c r="G82" s="7" t="n">
        <v>4207066.51052297</v>
      </c>
      <c r="H82" s="8" t="n">
        <v>17.996653815377901</v>
      </c>
      <c r="I82" s="14" t="str">
        <f>=HYPERLINK("https://ucloud.univie.ac.at/index.php/f/1552579218","Open Cytogram")</f>
      </c>
      <c r="J82" s="9" t="s">
        <v>314</v>
      </c>
      <c r="K82" s="10" t="s">
        <v>14</v>
      </c>
      <c r="L82" s="10" t="s">
        <v>314</v>
      </c>
      <c r="M82" s="10" t="s">
        <v>37</v>
      </c>
    </row>
    <row r="83">
      <c r="A83" s="17" t="s">
        <v>314</v>
      </c>
      <c r="B83" s="18" t="n">
        <v>46224</v>
      </c>
      <c r="C83" s="18" t="n">
        <v>46203</v>
      </c>
      <c r="D83" s="19" t="n">
        <f t="shared" si="8"/>
        <v>21</v>
      </c>
      <c r="E83" s="20" t="n">
        <v>8109914.9965761304</v>
      </c>
      <c r="F83" s="21" t="n">
        <v>36.7534848032738</v>
      </c>
      <c r="G83" s="22" t="n">
        <v>9471914.1748459302</v>
      </c>
      <c r="H83" s="23" t="n">
        <v>42.925955923099899</v>
      </c>
      <c r="I83" s="24" t="str">
        <f>=HYPERLINK("https://ucloud.univie.ac.at/index.php/f/1556102548","Open Cytogram")</f>
      </c>
      <c r="J83" s="15" t="s">
        <v>314</v>
      </c>
      <c r="K83" s="25" t="s">
        <v>14</v>
      </c>
      <c r="L83" s="25" t="s">
        <v>314</v>
      </c>
      <c r="M83" s="25" t="s">
        <v>72</v>
      </c>
    </row>
    <row r="84">
      <c r="A84" s="2" t="s">
        <v>73</v>
      </c>
      <c r="B84" s="3" t="n">
        <v>46211</v>
      </c>
      <c r="C84" s="3" t="n">
        <v>46203</v>
      </c>
      <c r="D84" s="4" t="n">
        <f t="shared" si="8"/>
        <v>8</v>
      </c>
      <c r="E84" s="5" t="n">
        <v>3088042.6906033698</v>
      </c>
      <c r="F84" s="6" t="n">
        <v>20.8028930450029</v>
      </c>
      <c r="G84" s="7" t="n">
        <v>10054168.1420839</v>
      </c>
      <c r="H84" s="8" t="n">
        <v>67.730859146697796</v>
      </c>
      <c r="I84" s="14" t="str">
        <f>=HYPERLINK("https://ucloud.univie.ac.at/index.php/f/1547933978","Open Cytogram")</f>
      </c>
      <c r="J84" s="9" t="s">
        <v>314</v>
      </c>
      <c r="K84" s="10" t="s">
        <v>14</v>
      </c>
      <c r="L84" s="10" t="s">
        <v>314</v>
      </c>
      <c r="M84" s="10" t="s">
        <v>36</v>
      </c>
    </row>
    <row r="85">
      <c r="A85" s="2" t="s">
        <v>314</v>
      </c>
      <c r="B85" s="3" t="n">
        <v>46218</v>
      </c>
      <c r="C85" s="3" t="n">
        <v>46203</v>
      </c>
      <c r="D85" s="4" t="n">
        <f t="shared" si="8"/>
        <v>15</v>
      </c>
      <c r="E85" s="5" t="n">
        <v>13835365.048348799</v>
      </c>
      <c r="F85" s="6" t="n">
        <v>67.087198515769899</v>
      </c>
      <c r="G85" s="7" t="n">
        <v>5054771.7067621397</v>
      </c>
      <c r="H85" s="8" t="n">
        <v>24.510410224695899</v>
      </c>
      <c r="I85" s="14" t="str">
        <f>=HYPERLINK("https://ucloud.univie.ac.at/index.php/f/1552579218","Open Cytogram")</f>
      </c>
      <c r="J85" s="9" t="s">
        <v>314</v>
      </c>
      <c r="K85" t="s">
        <v>14</v>
      </c>
      <c r="L85" t="s">
        <v>314</v>
      </c>
      <c r="M85" t="s">
        <v>37</v>
      </c>
    </row>
    <row r="86">
      <c r="A86" s="17" t="s">
        <v>314</v>
      </c>
      <c r="B86" s="18" t="n">
        <v>46224</v>
      </c>
      <c r="C86" s="18" t="n">
        <v>46203</v>
      </c>
      <c r="D86" s="19" t="n">
        <f t="shared" si="8"/>
        <v>21</v>
      </c>
      <c r="E86" s="20" t="n">
        <v>5690673.3622460598</v>
      </c>
      <c r="F86" s="21" t="n">
        <v>36.686677581711201</v>
      </c>
      <c r="G86" s="22" t="n">
        <v>7593521.6617210703</v>
      </c>
      <c r="H86" s="23" t="n">
        <v>48.953974895397501</v>
      </c>
      <c r="I86" s="24" t="str">
        <f>=HYPERLINK("https://ucloud.univie.ac.at/index.php/f/1556102548","Open Cytogram")</f>
      </c>
      <c r="J86" s="15" t="s">
        <v>314</v>
      </c>
      <c r="K86" s="16" t="s">
        <v>14</v>
      </c>
      <c r="L86" s="16" t="s">
        <v>314</v>
      </c>
      <c r="M86" s="16" t="s">
        <v>72</v>
      </c>
    </row>
    <row r="87">
      <c r="A87" s="2" t="s">
        <v>74</v>
      </c>
      <c r="B87" s="3" t="n">
        <v>46211</v>
      </c>
      <c r="C87" s="3" t="n">
        <v>46203</v>
      </c>
      <c r="D87" s="4" t="n">
        <f t="shared" si="8"/>
        <v>8</v>
      </c>
      <c r="E87" s="5" t="n">
        <v>8984184.7816641293</v>
      </c>
      <c r="F87" s="6" t="n">
        <v>40.132552404438997</v>
      </c>
      <c r="G87" s="7" t="n">
        <v>12349027.3191397</v>
      </c>
      <c r="H87" s="8" t="n">
        <v>55.163378545006204</v>
      </c>
      <c r="I87" s="14" t="str">
        <f>=HYPERLINK("https://ucloud.univie.ac.at/index.php/f/1547933978","Open Cytogram")</f>
      </c>
      <c r="J87" s="9" t="s">
        <v>314</v>
      </c>
      <c r="K87" t="s">
        <v>14</v>
      </c>
      <c r="L87" t="s">
        <v>314</v>
      </c>
      <c r="M87" t="s">
        <v>36</v>
      </c>
    </row>
    <row r="88">
      <c r="A88" s="2" t="s">
        <v>314</v>
      </c>
      <c r="B88" s="3" t="n">
        <v>46218</v>
      </c>
      <c r="C88" s="3" t="n">
        <v>46203</v>
      </c>
      <c r="D88" s="4" t="n">
        <f t="shared" si="8"/>
        <v>15</v>
      </c>
      <c r="E88" s="5" t="n">
        <v>5348765.7621062798</v>
      </c>
      <c r="F88" s="6" t="n">
        <v>58.270337357553899</v>
      </c>
      <c r="G88" s="7" t="n">
        <v>1249547.07948131</v>
      </c>
      <c r="H88" s="8" t="n">
        <v>13.612772199029701</v>
      </c>
      <c r="I88" s="14" t="str">
        <f>=HYPERLINK("https://ucloud.univie.ac.at/index.php/f/1552579218","Open Cytogram")</f>
      </c>
      <c r="J88" s="9" t="s">
        <v>314</v>
      </c>
      <c r="K88" s="10" t="s">
        <v>14</v>
      </c>
      <c r="L88" s="10" t="s">
        <v>314</v>
      </c>
      <c r="M88" s="10" t="s">
        <v>37</v>
      </c>
    </row>
    <row r="89">
      <c r="A89" s="17" t="s">
        <v>314</v>
      </c>
      <c r="B89" s="18" t="n">
        <v>46224</v>
      </c>
      <c r="C89" s="18" t="n">
        <v>46203</v>
      </c>
      <c r="D89" s="19" t="n">
        <f t="shared" si="8"/>
        <v>21</v>
      </c>
      <c r="E89" s="20" t="n">
        <v>9124036.7292225193</v>
      </c>
      <c r="F89" s="21" t="n">
        <v>46.325900995652802</v>
      </c>
      <c r="G89" s="22" t="n">
        <v>6821967.8284182297</v>
      </c>
      <c r="H89" s="23" t="n">
        <v>34.6374982470902</v>
      </c>
      <c r="I89" s="24" t="str">
        <f>=HYPERLINK("https://ucloud.univie.ac.at/index.php/f/1556102548","Open Cytogram")</f>
      </c>
      <c r="J89" s="15" t="s">
        <v>314</v>
      </c>
      <c r="K89" s="25" t="s">
        <v>14</v>
      </c>
      <c r="L89" s="25" t="s">
        <v>314</v>
      </c>
      <c r="M89" s="25" t="s">
        <v>72</v>
      </c>
    </row>
    <row r="90">
      <c r="A90" s="2" t="s">
        <v>75</v>
      </c>
      <c r="B90" s="3" t="n">
        <v>46211</v>
      </c>
      <c r="C90" s="3" t="n">
        <v>46203</v>
      </c>
      <c r="D90" s="4" t="n">
        <f t="shared" si="8"/>
        <v>8</v>
      </c>
      <c r="E90" s="5" t="n">
        <v>7469453.5737562403</v>
      </c>
      <c r="F90" s="6" t="n">
        <v>37.267593995317398</v>
      </c>
      <c r="G90" s="7" t="n">
        <v>11490564.6208994</v>
      </c>
      <c r="H90" s="8" t="n">
        <v>57.330257540283696</v>
      </c>
      <c r="I90" s="14" t="str">
        <f>=HYPERLINK("https://ucloud.univie.ac.at/index.php/f/1547933978","Open Cytogram")</f>
      </c>
      <c r="J90" s="9" t="s">
        <v>314</v>
      </c>
      <c r="K90" s="10" t="s">
        <v>14</v>
      </c>
      <c r="L90" s="10" t="s">
        <v>314</v>
      </c>
      <c r="M90" s="10" t="s">
        <v>36</v>
      </c>
    </row>
    <row r="91">
      <c r="A91" s="2" t="s">
        <v>314</v>
      </c>
      <c r="B91" s="3" t="n">
        <v>46218</v>
      </c>
      <c r="C91" s="3" t="n">
        <v>46203</v>
      </c>
      <c r="D91" s="4" t="n">
        <f t="shared" si="8"/>
        <v>15</v>
      </c>
      <c r="E91" s="5" t="n">
        <v>17523724.702167299</v>
      </c>
      <c r="F91" s="6" t="n">
        <v>67.579307948170594</v>
      </c>
      <c r="G91" s="7" t="n">
        <v>6686371.0635854602</v>
      </c>
      <c r="H91" s="8" t="n">
        <v>25.785632726008998</v>
      </c>
      <c r="I91" s="14" t="str">
        <f>=HYPERLINK("https://ucloud.univie.ac.at/index.php/f/1552579218","Open Cytogram")</f>
      </c>
      <c r="J91" s="9" t="s">
        <v>314</v>
      </c>
      <c r="K91" t="s">
        <v>14</v>
      </c>
      <c r="L91" t="s">
        <v>314</v>
      </c>
      <c r="M91" t="s">
        <v>37</v>
      </c>
    </row>
    <row r="92">
      <c r="A92" s="17" t="s">
        <v>314</v>
      </c>
      <c r="B92" s="18" t="n">
        <v>46224</v>
      </c>
      <c r="C92" s="18" t="n">
        <v>46203</v>
      </c>
      <c r="D92" s="19" t="n">
        <f t="shared" si="8"/>
        <v>21</v>
      </c>
      <c r="E92" s="20" t="n">
        <v>6726281.8534581196</v>
      </c>
      <c r="F92" s="21" t="n">
        <v>41.985674025363998</v>
      </c>
      <c r="G92" s="22" t="n">
        <v>5479977.3567678602</v>
      </c>
      <c r="H92" s="23" t="n">
        <v>34.206200093940801</v>
      </c>
      <c r="I92" s="24" t="str">
        <f>=HYPERLINK("https://ucloud.univie.ac.at/index.php/f/1556102548","Open Cytogram")</f>
      </c>
      <c r="J92" s="15" t="s">
        <v>314</v>
      </c>
      <c r="K92" s="16" t="s">
        <v>14</v>
      </c>
      <c r="L92" s="16" t="s">
        <v>314</v>
      </c>
      <c r="M92" s="16" t="s">
        <v>72</v>
      </c>
    </row>
    <row r="93">
      <c r="A93" s="17" t="s">
        <v>76</v>
      </c>
      <c r="B93" s="18" t="n">
        <v>46224</v>
      </c>
      <c r="C93" s="18"/>
      <c r="D93" s="19" t="str">
        <f t="shared" si="8"/>
        <v/>
      </c>
      <c r="E93" s="20" t="n">
        <v>15017734.0333257</v>
      </c>
      <c r="F93" s="21" t="n">
        <v>54.221286422604102</v>
      </c>
      <c r="G93" s="22" t="n">
        <v>10195241.0865099</v>
      </c>
      <c r="H93" s="23" t="n">
        <v>36.809753446987699</v>
      </c>
      <c r="I93" s="24" t="str">
        <f>=HYPERLINK("https://ucloud.univie.ac.at/index.php/f/1556102548","Open Cytogram")</f>
      </c>
      <c r="J93" s="15" t="s">
        <v>314</v>
      </c>
      <c r="K93" s="25" t="s">
        <v>14</v>
      </c>
      <c r="L93" s="25" t="s">
        <v>314</v>
      </c>
      <c r="M93" s="25" t="s">
        <v>72</v>
      </c>
    </row>
    <row r="94">
      <c r="A94" s="2" t="s">
        <v>77</v>
      </c>
      <c r="B94" s="3" t="n">
        <v>46224</v>
      </c>
      <c r="C94" s="3"/>
      <c r="D94" s="4" t="str">
        <f t="shared" si="8"/>
        <v/>
      </c>
      <c r="E94" s="5" t="n">
        <v>3970302.8532298598</v>
      </c>
      <c r="F94" s="6" t="n">
        <v>37.674044983934301</v>
      </c>
      <c r="G94" s="7" t="n">
        <v>2830286.9664460202</v>
      </c>
      <c r="H94" s="8" t="n">
        <v>26.856479828632601</v>
      </c>
      <c r="I94" s="14" t="str">
        <f>=HYPERLINK("https://ucloud.univie.ac.at/index.php/f/1556102548","Open Cytogram")</f>
      </c>
      <c r="J94" s="9" t="s">
        <v>314</v>
      </c>
      <c r="K94" s="10" t="s">
        <v>14</v>
      </c>
      <c r="L94" s="10" t="s">
        <v>314</v>
      </c>
      <c r="M94" s="10" t="s">
        <v>72</v>
      </c>
    </row>
    <row r="95">
      <c r="A95" s="17" t="s">
        <v>314</v>
      </c>
      <c r="B95" s="18" t="n">
        <v>46231</v>
      </c>
      <c r="C95" s="18"/>
      <c r="D95" s="19" t="str">
        <f t="shared" si="8"/>
        <v/>
      </c>
      <c r="E95" s="20" t="n">
        <v>8058866.3458635602</v>
      </c>
      <c r="F95" s="21" t="n">
        <v>43.879907621247099</v>
      </c>
      <c r="G95" s="22" t="n">
        <v>5843354.9372303002</v>
      </c>
      <c r="H95" s="23" t="n">
        <v>31.816618347992701</v>
      </c>
      <c r="I95" s="24" t="str">
        <f>=HYPERLINK("https://ucloud.univie.ac.at/index.php/f/1563062920","Open Cytogram")</f>
      </c>
      <c r="J95" s="15" t="s">
        <v>314</v>
      </c>
      <c r="K95" s="25" t="s">
        <v>14</v>
      </c>
      <c r="L95" s="25" t="s">
        <v>314</v>
      </c>
      <c r="M95" s="25" t="s">
        <v>78</v>
      </c>
    </row>
    <row r="96">
      <c r="A96" s="2" t="s">
        <v>79</v>
      </c>
      <c r="B96" s="3" t="n">
        <v>46224</v>
      </c>
      <c r="C96" s="3"/>
      <c r="D96" s="4" t="str">
        <f t="shared" si="8"/>
        <v/>
      </c>
      <c r="E96" s="5" t="n">
        <v>5814833.5083314301</v>
      </c>
      <c r="F96" s="6" t="n">
        <v>31.966492579761098</v>
      </c>
      <c r="G96" s="7" t="n">
        <v>8022438.5300159799</v>
      </c>
      <c r="H96" s="8" t="n">
        <v>44.1025906199907</v>
      </c>
      <c r="I96" s="14" t="str">
        <f>=HYPERLINK("https://ucloud.univie.ac.at/index.php/f/1556102548","Open Cytogram")</f>
      </c>
      <c r="J96" s="9" t="s">
        <v>314</v>
      </c>
      <c r="K96" s="10" t="s">
        <v>14</v>
      </c>
      <c r="L96" s="10" t="s">
        <v>314</v>
      </c>
      <c r="M96" s="10" t="s">
        <v>72</v>
      </c>
    </row>
    <row r="97">
      <c r="A97" s="17" t="s">
        <v>314</v>
      </c>
      <c r="B97" s="18" t="n">
        <v>46231</v>
      </c>
      <c r="C97" s="18"/>
      <c r="D97" s="19" t="str">
        <f t="shared" si="8"/>
        <v/>
      </c>
      <c r="E97" s="20" t="n">
        <v>3337255.06685369</v>
      </c>
      <c r="F97" s="21" t="n">
        <v>37.467071935157101</v>
      </c>
      <c r="G97" s="22" t="n">
        <v>2520539.0485998802</v>
      </c>
      <c r="H97" s="23" t="n">
        <v>28.297872340425499</v>
      </c>
      <c r="I97" s="24" t="str">
        <f>=HYPERLINK("https://ucloud.univie.ac.at/index.php/f/1563062920","Open Cytogram")</f>
      </c>
      <c r="J97" s="15" t="s">
        <v>314</v>
      </c>
      <c r="K97" s="25" t="s">
        <v>14</v>
      </c>
      <c r="L97" s="25" t="s">
        <v>314</v>
      </c>
      <c r="M97" s="25" t="s">
        <v>78</v>
      </c>
    </row>
    <row r="98">
      <c r="A98" s="2" t="s">
        <v>80</v>
      </c>
      <c r="B98" s="3" t="n">
        <v>46224</v>
      </c>
      <c r="C98" s="3"/>
      <c r="D98" s="4" t="str">
        <f t="shared" si="8"/>
        <v/>
      </c>
      <c r="E98" s="5" t="n">
        <v>1981859.30152933</v>
      </c>
      <c r="F98" s="6" t="n">
        <v>30.7501459427904</v>
      </c>
      <c r="G98" s="7" t="n">
        <v>3060735.7224377999</v>
      </c>
      <c r="H98" s="8" t="n">
        <v>47.489784004670199</v>
      </c>
      <c r="I98" s="14" t="str">
        <f>=HYPERLINK("https://ucloud.univie.ac.at/index.php/f/1556102548","Open Cytogram")</f>
      </c>
      <c r="J98" s="9" t="s">
        <v>314</v>
      </c>
      <c r="K98" s="10" t="s">
        <v>14</v>
      </c>
      <c r="L98" s="10" t="s">
        <v>314</v>
      </c>
      <c r="M98" s="10" t="s">
        <v>72</v>
      </c>
    </row>
    <row r="99">
      <c r="A99" s="17" t="s">
        <v>314</v>
      </c>
      <c r="B99" s="18" t="n">
        <v>46231</v>
      </c>
      <c r="C99" s="18"/>
      <c r="D99" s="19" t="str">
        <f t="shared" si="8"/>
        <v/>
      </c>
      <c r="E99" s="20" t="n">
        <v>7234930.7384981196</v>
      </c>
      <c r="F99" s="21" t="n">
        <v>39.849885674520301</v>
      </c>
      <c r="G99" s="22" t="n">
        <v>7089636.5076264497</v>
      </c>
      <c r="H99" s="23" t="n">
        <v>39.049607316830702</v>
      </c>
      <c r="I99" s="24" t="str">
        <f>=HYPERLINK("https://ucloud.univie.ac.at/index.php/f/1563062920","Open Cytogram")</f>
      </c>
      <c r="J99" s="15" t="s">
        <v>314</v>
      </c>
      <c r="K99" s="25" t="s">
        <v>14</v>
      </c>
      <c r="L99" s="25" t="s">
        <v>314</v>
      </c>
      <c r="M99" s="25" t="s">
        <v>78</v>
      </c>
    </row>
    <row r="100">
      <c r="A100" s="17" t="s">
        <v>81</v>
      </c>
      <c r="B100" s="18" t="n">
        <v>46238</v>
      </c>
      <c r="C100" s="18"/>
      <c r="D100" s="19" t="str">
        <f t="shared" si="8"/>
        <v/>
      </c>
      <c r="E100" s="20" t="n">
        <v>4131462.3800501102</v>
      </c>
      <c r="F100" s="21" t="n">
        <v>31.766883620946999</v>
      </c>
      <c r="G100" s="22" t="n">
        <v>5436911.3012651904</v>
      </c>
      <c r="H100" s="23" t="n">
        <v>41.804502298919203</v>
      </c>
      <c r="I100" s="24" t="str">
        <f>=HYPERLINK("https://ucloud.univie.ac.at/index.php/f/1567854609","Open Cytogram")</f>
      </c>
      <c r="J100" s="15" t="s">
        <v>314</v>
      </c>
      <c r="K100" s="16" t="s">
        <v>14</v>
      </c>
      <c r="L100" s="16" t="s">
        <v>314</v>
      </c>
      <c r="M100" s="16" t="s">
        <v>49</v>
      </c>
    </row>
    <row r="101">
      <c r="A101" s="17" t="s">
        <v>82</v>
      </c>
      <c r="B101" s="18" t="n">
        <v>46238</v>
      </c>
      <c r="C101" s="18"/>
      <c r="D101" s="19" t="str">
        <f t="shared" si="8"/>
        <v/>
      </c>
      <c r="E101" s="20" t="n">
        <v>2756120.2982702702</v>
      </c>
      <c r="F101" s="21" t="n">
        <v>35.169953423842998</v>
      </c>
      <c r="G101" s="22" t="n">
        <v>2221049.32461341</v>
      </c>
      <c r="H101" s="23" t="n">
        <v>28.3420870082251</v>
      </c>
      <c r="I101" s="24" t="str">
        <f>=HYPERLINK("https://ucloud.univie.ac.at/index.php/f/1567854609","Open Cytogram")</f>
      </c>
      <c r="J101" s="15" t="s">
        <v>314</v>
      </c>
      <c r="K101" s="25" t="s">
        <v>14</v>
      </c>
      <c r="L101" s="25" t="s">
        <v>314</v>
      </c>
      <c r="M101" s="25" t="s">
        <v>49</v>
      </c>
    </row>
    <row r="102">
      <c r="A102" s="17" t="s">
        <v>83</v>
      </c>
      <c r="B102" s="18" t="n">
        <v>46238</v>
      </c>
      <c r="C102" s="18"/>
      <c r="D102" s="19" t="str">
        <f t="shared" si="8"/>
        <v/>
      </c>
      <c r="E102" s="20" t="n">
        <v>3389041.6967178099</v>
      </c>
      <c r="F102" s="21" t="n">
        <v>29.498445315668501</v>
      </c>
      <c r="G102" s="22" t="n">
        <v>4997102.1168225296</v>
      </c>
      <c r="H102" s="23" t="n">
        <v>43.495110630435804</v>
      </c>
      <c r="I102" s="24" t="str">
        <f>=HYPERLINK("https://ucloud.univie.ac.at/index.php/f/1567854609","Open Cytogram")</f>
      </c>
      <c r="J102" s="15" t="s">
        <v>314</v>
      </c>
      <c r="K102" s="16" t="s">
        <v>14</v>
      </c>
      <c r="L102" s="16" t="s">
        <v>314</v>
      </c>
      <c r="M102" s="16" t="s">
        <v>49</v>
      </c>
    </row>
    <row r="103">
      <c r="A103" s="17" t="s">
        <v>84</v>
      </c>
      <c r="B103" s="18" t="n">
        <v>46238</v>
      </c>
      <c r="C103" s="18"/>
      <c r="D103" s="19" t="str">
        <f t="shared" si="8"/>
        <v/>
      </c>
      <c r="E103" s="20" t="n">
        <v>1434621.8364810599</v>
      </c>
      <c r="F103" s="21" t="n">
        <v>25.875431879727302</v>
      </c>
      <c r="G103" s="22" t="n">
        <v>2392934.7268911898</v>
      </c>
      <c r="H103" s="23" t="n">
        <v>43.159958913063797</v>
      </c>
      <c r="I103" s="24" t="str">
        <f>=HYPERLINK("https://ucloud.univie.ac.at/index.php/f/1567854609","Open Cytogram")</f>
      </c>
      <c r="J103" s="15" t="s">
        <v>314</v>
      </c>
      <c r="K103" s="25" t="s">
        <v>14</v>
      </c>
      <c r="L103" s="25" t="s">
        <v>314</v>
      </c>
      <c r="M103" s="25" t="s">
        <v>49</v>
      </c>
    </row>
    <row r="104">
      <c r="A104" s="2" t="s">
        <v>85</v>
      </c>
      <c r="B104" s="3" t="n">
        <v>46153</v>
      </c>
      <c r="C104" s="3" t="n">
        <v>46115</v>
      </c>
      <c r="D104" s="4" t="n">
        <f t="shared" si="8"/>
        <v>38</v>
      </c>
      <c r="E104" s="5" t="n">
        <v>277322.85040308902</v>
      </c>
      <c r="F104" s="6" t="n">
        <v>41.3555992141454</v>
      </c>
      <c r="G104" s="7" t="n">
        <v>303671.81481193402</v>
      </c>
      <c r="H104" s="8" t="n">
        <v>45.284872298624698</v>
      </c>
      <c r="I104" s="14" t="str">
        <f>=HYPERLINK("https://ucloud.univie.ac.at/index.php/f/1514655988","Open Cytogram")</f>
      </c>
      <c r="J104" s="9" t="s">
        <v>314</v>
      </c>
      <c r="K104" s="10" t="s">
        <v>14</v>
      </c>
      <c r="L104" s="10" t="s">
        <v>314</v>
      </c>
      <c r="M104" s="10" t="s">
        <v>15</v>
      </c>
    </row>
    <row r="105">
      <c r="A105" s="17" t="s">
        <v>314</v>
      </c>
      <c r="B105" s="18" t="n">
        <v>46162</v>
      </c>
      <c r="C105" s="18" t="n">
        <v>46115</v>
      </c>
      <c r="D105" s="19" t="n">
        <f t="shared" si="8"/>
        <v>47</v>
      </c>
      <c r="E105" s="20" t="n">
        <v>7456270.2074477496</v>
      </c>
      <c r="F105" s="21" t="n">
        <v>54.421969585117402</v>
      </c>
      <c r="G105" s="22" t="n">
        <v>5445545.1433666097</v>
      </c>
      <c r="H105" s="23" t="n">
        <v>39.746050494610998</v>
      </c>
      <c r="I105" s="24" t="str">
        <f>=HYPERLINK("https://ucloud.univie.ac.at/index.php/f/1515117518","Open Cytogram")</f>
      </c>
      <c r="J105" s="15" t="s">
        <v>314</v>
      </c>
      <c r="K105" s="25" t="s">
        <v>14</v>
      </c>
      <c r="L105" s="25" t="s">
        <v>314</v>
      </c>
      <c r="M105" s="25" t="s">
        <v>86</v>
      </c>
    </row>
    <row r="106">
      <c r="A106" s="2" t="s">
        <v>87</v>
      </c>
      <c r="B106" s="3" t="n">
        <v>46153</v>
      </c>
      <c r="C106" s="3" t="n">
        <v>46115</v>
      </c>
      <c r="D106" s="4" t="n">
        <f t="shared" si="8"/>
        <v>38</v>
      </c>
      <c r="E106" s="5" t="n">
        <v>3220462.10772618</v>
      </c>
      <c r="F106" s="6" t="n">
        <v>14.697314338161901</v>
      </c>
      <c r="G106" s="7" t="n">
        <v>3512515.9616443301</v>
      </c>
      <c r="H106" s="8" t="n">
        <v>16.0301688016282</v>
      </c>
      <c r="I106" s="14" t="str">
        <f>=HYPERLINK("https://ucloud.univie.ac.at/index.php/f/1514655988","Open Cytogram")</f>
      </c>
      <c r="J106" s="9" t="s">
        <v>314</v>
      </c>
      <c r="K106" s="10" t="s">
        <v>14</v>
      </c>
      <c r="L106" s="10" t="s">
        <v>314</v>
      </c>
      <c r="M106" s="10" t="s">
        <v>15</v>
      </c>
    </row>
    <row r="107">
      <c r="A107" s="17" t="s">
        <v>314</v>
      </c>
      <c r="B107" s="18" t="n">
        <v>46162</v>
      </c>
      <c r="C107" s="18" t="n">
        <v>46115</v>
      </c>
      <c r="D107" s="19" t="n">
        <f t="shared" si="8"/>
        <v>47</v>
      </c>
      <c r="E107" s="20" t="n">
        <v>5222625.7247934304</v>
      </c>
      <c r="F107" s="21" t="n">
        <v>47.027322404371603</v>
      </c>
      <c r="G107" s="22" t="n">
        <v>5123505.4751556301</v>
      </c>
      <c r="H107" s="23" t="n">
        <v>46.134790528233097</v>
      </c>
      <c r="I107" s="24" t="str">
        <f>=HYPERLINK("https://ucloud.univie.ac.at/index.php/f/1515117518","Open Cytogram")</f>
      </c>
      <c r="J107" s="15" t="s">
        <v>314</v>
      </c>
      <c r="K107" s="25" t="s">
        <v>14</v>
      </c>
      <c r="L107" s="25" t="s">
        <v>314</v>
      </c>
      <c r="M107" s="25" t="s">
        <v>86</v>
      </c>
    </row>
    <row r="108">
      <c r="A108" s="2" t="s">
        <v>88</v>
      </c>
      <c r="B108" s="3" t="n">
        <v>46153</v>
      </c>
      <c r="C108" s="3" t="n">
        <v>46115</v>
      </c>
      <c r="D108" s="4" t="n">
        <f t="shared" si="8"/>
        <v>38</v>
      </c>
      <c r="E108" s="5" t="n">
        <v>5660073.6419526404</v>
      </c>
      <c r="F108" s="6" t="n">
        <v>33.445282628913901</v>
      </c>
      <c r="G108" s="7" t="n">
        <v>9526726.7617911305</v>
      </c>
      <c r="H108" s="8" t="n">
        <v>56.293272708483997</v>
      </c>
      <c r="I108" s="14" t="str">
        <f>=HYPERLINK("https://ucloud.univie.ac.at/index.php/f/1514655988","Open Cytogram")</f>
      </c>
      <c r="J108" s="9" t="s">
        <v>314</v>
      </c>
      <c r="K108" s="10" t="s">
        <v>14</v>
      </c>
      <c r="L108" s="10" t="s">
        <v>314</v>
      </c>
      <c r="M108" s="10" t="s">
        <v>15</v>
      </c>
    </row>
    <row r="109">
      <c r="A109" s="17" t="s">
        <v>314</v>
      </c>
      <c r="B109" s="18" t="n">
        <v>46162</v>
      </c>
      <c r="C109" s="18" t="n">
        <v>46115</v>
      </c>
      <c r="D109" s="19" t="n">
        <f t="shared" si="8"/>
        <v>47</v>
      </c>
      <c r="E109" s="20" t="n">
        <v>6802481.1322857495</v>
      </c>
      <c r="F109" s="21" t="n">
        <v>45.733714130286998</v>
      </c>
      <c r="G109" s="22" t="n">
        <v>7262075.43264715</v>
      </c>
      <c r="H109" s="23" t="n">
        <v>48.8236094111247</v>
      </c>
      <c r="I109" s="24" t="str">
        <f>=HYPERLINK("https://ucloud.univie.ac.at/index.php/f/1515117518","Open Cytogram")</f>
      </c>
      <c r="J109" s="15" t="s">
        <v>314</v>
      </c>
      <c r="K109" s="25" t="s">
        <v>14</v>
      </c>
      <c r="L109" s="25" t="s">
        <v>314</v>
      </c>
      <c r="M109" s="25" t="s">
        <v>86</v>
      </c>
    </row>
    <row r="110">
      <c r="A110" s="2" t="s">
        <v>89</v>
      </c>
      <c r="B110" s="3" t="n">
        <v>46153</v>
      </c>
      <c r="C110" s="3" t="n">
        <v>46115</v>
      </c>
      <c r="D110" s="4" t="n">
        <f t="shared" si="8"/>
        <v>38</v>
      </c>
      <c r="E110" s="5" t="n">
        <v>11734618.9209029</v>
      </c>
      <c r="F110" s="6" t="n">
        <v>42.4039433771486</v>
      </c>
      <c r="G110" s="7" t="n">
        <v>14614060.061479099</v>
      </c>
      <c r="H110" s="8" t="n">
        <v>52.809024266936298</v>
      </c>
      <c r="I110" s="14" t="str">
        <f>=HYPERLINK("https://ucloud.univie.ac.at/index.php/f/1514655988","Open Cytogram")</f>
      </c>
      <c r="J110" s="9" t="s">
        <v>314</v>
      </c>
      <c r="K110" s="10" t="s">
        <v>14</v>
      </c>
      <c r="L110" s="10" t="s">
        <v>314</v>
      </c>
      <c r="M110" s="10" t="s">
        <v>15</v>
      </c>
    </row>
    <row r="111">
      <c r="A111" s="17" t="s">
        <v>314</v>
      </c>
      <c r="B111" s="18" t="n">
        <v>46162</v>
      </c>
      <c r="C111" s="18" t="n">
        <v>46115</v>
      </c>
      <c r="D111" s="19" t="n">
        <f t="shared" si="8"/>
        <v>47</v>
      </c>
      <c r="E111" s="20" t="n">
        <v>5643381.0701947203</v>
      </c>
      <c r="F111" s="21" t="n">
        <v>45.725431062741798</v>
      </c>
      <c r="G111" s="22" t="n">
        <v>5957329.2894556699</v>
      </c>
      <c r="H111" s="23" t="n">
        <v>48.269192945649998</v>
      </c>
      <c r="I111" s="24" t="str">
        <f>=HYPERLINK("https://ucloud.univie.ac.at/index.php/f/1515117518","Open Cytogram")</f>
      </c>
      <c r="J111" s="15" t="s">
        <v>314</v>
      </c>
      <c r="K111" s="25" t="s">
        <v>14</v>
      </c>
      <c r="L111" s="25" t="s">
        <v>314</v>
      </c>
      <c r="M111" s="25" t="s">
        <v>86</v>
      </c>
    </row>
    <row r="112">
      <c r="A112" s="2" t="s">
        <v>90</v>
      </c>
      <c r="B112" s="3" t="n">
        <v>46153</v>
      </c>
      <c r="C112" s="3" t="n">
        <v>46115</v>
      </c>
      <c r="D112" s="4" t="n">
        <f t="shared" si="8"/>
        <v>38</v>
      </c>
      <c r="E112" s="5" t="n">
        <v>3275291.7770275199</v>
      </c>
      <c r="F112" s="6" t="n">
        <v>35.009369144284797</v>
      </c>
      <c r="G112" s="7" t="n">
        <v>5311757.7614951199</v>
      </c>
      <c r="H112" s="8" t="n">
        <v>56.777014366021199</v>
      </c>
      <c r="I112" s="14" t="str">
        <f>=HYPERLINK("https://ucloud.univie.ac.at/index.php/f/1514655988","Open Cytogram")</f>
      </c>
      <c r="J112" s="9" t="s">
        <v>314</v>
      </c>
      <c r="K112" s="10" t="s">
        <v>14</v>
      </c>
      <c r="L112" s="10" t="s">
        <v>314</v>
      </c>
      <c r="M112" s="10" t="s">
        <v>15</v>
      </c>
    </row>
    <row r="113">
      <c r="A113" s="17" t="s">
        <v>314</v>
      </c>
      <c r="B113" s="18" t="n">
        <v>46162</v>
      </c>
      <c r="C113" s="18" t="n">
        <v>46115</v>
      </c>
      <c r="D113" s="19" t="n">
        <f t="shared" si="8"/>
        <v>47</v>
      </c>
      <c r="E113" s="20" t="n">
        <v>3052958.9898504601</v>
      </c>
      <c r="F113" s="21" t="n">
        <v>37.991331639515799</v>
      </c>
      <c r="G113" s="22" t="n">
        <v>4280688.0722165601</v>
      </c>
      <c r="H113" s="23" t="n">
        <v>53.269316992975597</v>
      </c>
      <c r="I113" s="24" t="str">
        <f>=HYPERLINK("https://ucloud.univie.ac.at/index.php/f/1515117518","Open Cytogram")</f>
      </c>
      <c r="J113" s="15" t="s">
        <v>314</v>
      </c>
      <c r="K113" s="25" t="s">
        <v>14</v>
      </c>
      <c r="L113" s="25" t="s">
        <v>314</v>
      </c>
      <c r="M113" s="25" t="s">
        <v>86</v>
      </c>
    </row>
    <row r="114">
      <c r="A114" s="2" t="s">
        <v>91</v>
      </c>
      <c r="B114" s="3" t="n">
        <v>46153</v>
      </c>
      <c r="C114" s="3" t="n">
        <v>46115</v>
      </c>
      <c r="D114" s="4" t="n">
        <f t="shared" si="8"/>
        <v>38</v>
      </c>
      <c r="E114" s="5" t="n">
        <v>2143187.7373558101</v>
      </c>
      <c r="F114" s="6" t="n">
        <v>31.0280504581808</v>
      </c>
      <c r="G114" s="7" t="n">
        <v>3740552.7316516601</v>
      </c>
      <c r="H114" s="8" t="n">
        <v>54.153939422202498</v>
      </c>
      <c r="I114" s="14" t="str">
        <f>=HYPERLINK("https://ucloud.univie.ac.at/index.php/f/1514655988","Open Cytogram")</f>
      </c>
      <c r="J114" s="9" t="s">
        <v>314</v>
      </c>
      <c r="K114" s="10" t="s">
        <v>14</v>
      </c>
      <c r="L114" s="10" t="s">
        <v>314</v>
      </c>
      <c r="M114" s="10" t="s">
        <v>15</v>
      </c>
    </row>
    <row r="115">
      <c r="A115" s="17" t="s">
        <v>314</v>
      </c>
      <c r="B115" s="18" t="n">
        <v>46162</v>
      </c>
      <c r="C115" s="18" t="n">
        <v>46115</v>
      </c>
      <c r="D115" s="19" t="n">
        <f t="shared" si="8"/>
        <v>47</v>
      </c>
      <c r="E115" s="20" t="n">
        <v>4016557.2938689198</v>
      </c>
      <c r="F115" s="21" t="n">
        <v>47.413035288208</v>
      </c>
      <c r="G115" s="22" t="n">
        <v>2079556.44820296</v>
      </c>
      <c r="H115" s="23" t="n">
        <v>24.547909079492701</v>
      </c>
      <c r="I115" s="24" t="str">
        <f>=HYPERLINK("https://ucloud.univie.ac.at/index.php/f/1515117518","Open Cytogram")</f>
      </c>
      <c r="J115" s="15" t="s">
        <v>314</v>
      </c>
      <c r="K115" s="25" t="s">
        <v>14</v>
      </c>
      <c r="L115" s="25" t="s">
        <v>314</v>
      </c>
      <c r="M115" s="25" t="s">
        <v>86</v>
      </c>
    </row>
    <row r="116">
      <c r="A116" s="2" t="s">
        <v>92</v>
      </c>
      <c r="B116" s="3" t="n">
        <v>46153</v>
      </c>
      <c r="C116" s="3" t="n">
        <v>46115</v>
      </c>
      <c r="D116" s="4" t="n">
        <f t="shared" si="8"/>
        <v>38</v>
      </c>
      <c r="E116" s="5" t="n">
        <v>1707069.4452597599</v>
      </c>
      <c r="F116" s="6" t="n">
        <v>40.371651122987203</v>
      </c>
      <c r="G116" s="7" t="n">
        <v>1441069.0930437299</v>
      </c>
      <c r="H116" s="8" t="n">
        <v>34.080827133326302</v>
      </c>
      <c r="I116" s="14" t="str">
        <f>=HYPERLINK("https://ucloud.univie.ac.at/index.php/f/1514655988","Open Cytogram")</f>
      </c>
      <c r="J116" s="9" t="s">
        <v>314</v>
      </c>
      <c r="K116" s="10" t="s">
        <v>14</v>
      </c>
      <c r="L116" s="10" t="s">
        <v>314</v>
      </c>
      <c r="M116" s="10" t="s">
        <v>15</v>
      </c>
    </row>
    <row r="117">
      <c r="A117" s="17" t="s">
        <v>314</v>
      </c>
      <c r="B117" s="18" t="n">
        <v>46162</v>
      </c>
      <c r="C117" s="18" t="n">
        <v>46115</v>
      </c>
      <c r="D117" s="19" t="n">
        <f t="shared" si="8"/>
        <v>47</v>
      </c>
      <c r="E117" s="20" t="n">
        <v>4669759.8308668099</v>
      </c>
      <c r="F117" s="21" t="n">
        <v>37.776200004303</v>
      </c>
      <c r="G117" s="22" t="n">
        <v>5628552.6427061297</v>
      </c>
      <c r="H117" s="23" t="n">
        <v>45.532390972267002</v>
      </c>
      <c r="I117" s="24" t="str">
        <f>=HYPERLINK("https://ucloud.univie.ac.at/index.php/f/1515117518","Open Cytogram")</f>
      </c>
      <c r="J117" s="15" t="s">
        <v>314</v>
      </c>
      <c r="K117" s="25" t="s">
        <v>14</v>
      </c>
      <c r="L117" s="25" t="s">
        <v>314</v>
      </c>
      <c r="M117" s="25" t="s">
        <v>86</v>
      </c>
    </row>
    <row r="118">
      <c r="A118" s="2" t="s">
        <v>93</v>
      </c>
      <c r="B118" s="3" t="n">
        <v>46153</v>
      </c>
      <c r="C118" s="3" t="n">
        <v>46146</v>
      </c>
      <c r="D118" s="4" t="n">
        <f t="shared" si="8"/>
        <v>7</v>
      </c>
      <c r="E118" s="5" t="n">
        <v>4209951.8657601597</v>
      </c>
      <c r="F118" s="6" t="n">
        <v>22.379590113961498</v>
      </c>
      <c r="G118" s="7" t="n">
        <v>12332547.5967019</v>
      </c>
      <c r="H118" s="8" t="n">
        <v>65.558317309947</v>
      </c>
      <c r="I118" s="14" t="str">
        <f>=HYPERLINK("https://ucloud.univie.ac.at/index.php/f/1514655988","Open Cytogram")</f>
      </c>
      <c r="J118" s="9" t="s">
        <v>314</v>
      </c>
      <c r="K118" s="10" t="s">
        <v>14</v>
      </c>
      <c r="L118" s="10" t="s">
        <v>314</v>
      </c>
      <c r="M118" s="10" t="s">
        <v>15</v>
      </c>
    </row>
    <row r="119">
      <c r="A119" s="17" t="s">
        <v>314</v>
      </c>
      <c r="B119" s="18" t="n">
        <v>46162</v>
      </c>
      <c r="C119" s="18" t="n">
        <v>46146</v>
      </c>
      <c r="D119" s="19" t="n">
        <f t="shared" si="8"/>
        <v>16</v>
      </c>
      <c r="E119" s="20" t="n">
        <v>6389766.0228227004</v>
      </c>
      <c r="F119" s="21" t="n">
        <v>52.096954809811102</v>
      </c>
      <c r="G119" s="22" t="n">
        <v>5096926.10779035</v>
      </c>
      <c r="H119" s="23" t="n">
        <v>41.556189719322298</v>
      </c>
      <c r="I119" s="24" t="str">
        <f>=HYPERLINK("https://ucloud.univie.ac.at/index.php/f/1515117518","Open Cytogram")</f>
      </c>
      <c r="J119" s="15" t="s">
        <v>314</v>
      </c>
      <c r="K119" s="25" t="s">
        <v>14</v>
      </c>
      <c r="L119" s="25" t="s">
        <v>314</v>
      </c>
      <c r="M119" s="25" t="s">
        <v>86</v>
      </c>
    </row>
    <row r="120">
      <c r="A120" s="2" t="s">
        <v>94</v>
      </c>
      <c r="B120" s="3" t="n">
        <v>46153</v>
      </c>
      <c r="C120" s="3" t="n">
        <v>46146</v>
      </c>
      <c r="D120" s="4" t="n">
        <f t="shared" si="8"/>
        <v>7</v>
      </c>
      <c r="E120" s="5" t="n">
        <v>2327736.37841747</v>
      </c>
      <c r="F120" s="6" t="n">
        <v>22.730013783597499</v>
      </c>
      <c r="G120" s="7" t="n">
        <v>6671785.6212932104</v>
      </c>
      <c r="H120" s="8" t="n">
        <v>65.149035148173695</v>
      </c>
      <c r="I120" s="14" t="str">
        <f>=HYPERLINK("https://ucloud.univie.ac.at/index.php/f/1514655988","Open Cytogram")</f>
      </c>
      <c r="J120" s="9" t="s">
        <v>314</v>
      </c>
      <c r="K120" s="10" t="s">
        <v>14</v>
      </c>
      <c r="L120" s="10" t="s">
        <v>314</v>
      </c>
      <c r="M120" s="10" t="s">
        <v>15</v>
      </c>
    </row>
    <row r="121">
      <c r="A121" s="17" t="s">
        <v>314</v>
      </c>
      <c r="B121" s="18" t="n">
        <v>46162</v>
      </c>
      <c r="C121" s="18" t="n">
        <v>46146</v>
      </c>
      <c r="D121" s="19" t="n">
        <f t="shared" si="8"/>
        <v>16</v>
      </c>
      <c r="E121" s="20" t="n">
        <v>6165684.0999188097</v>
      </c>
      <c r="F121" s="21" t="n">
        <v>49.598073355680697</v>
      </c>
      <c r="G121" s="22" t="n">
        <v>5454850.3096591402</v>
      </c>
      <c r="H121" s="23" t="n">
        <v>43.879975266052703</v>
      </c>
      <c r="I121" s="24" t="str">
        <f>=HYPERLINK("https://ucloud.univie.ac.at/index.php/f/1515117518","Open Cytogram")</f>
      </c>
      <c r="J121" s="15" t="s">
        <v>314</v>
      </c>
      <c r="K121" s="25" t="s">
        <v>14</v>
      </c>
      <c r="L121" s="25" t="s">
        <v>314</v>
      </c>
      <c r="M121" s="25" t="s">
        <v>86</v>
      </c>
    </row>
    <row r="122">
      <c r="A122" s="2" t="s">
        <v>95</v>
      </c>
      <c r="B122" s="3" t="n">
        <v>46168</v>
      </c>
      <c r="C122" s="3" t="n">
        <v>46168</v>
      </c>
      <c r="D122" s="4" t="n">
        <f t="shared" si="8"/>
        <v>0</v>
      </c>
      <c r="E122" s="5" t="n">
        <v>4800973.95076025</v>
      </c>
      <c r="F122" s="6" t="n">
        <v>55.688224488503202</v>
      </c>
      <c r="G122" s="7" t="n">
        <v>2776608.32083723</v>
      </c>
      <c r="H122" s="8" t="n">
        <v>32.206879077722199</v>
      </c>
      <c r="I122" s="14" t="str">
        <f>=HYPERLINK("https://ucloud.univie.ac.at/index.php/f/1515117563","Open Cytogram")</f>
      </c>
      <c r="J122" s="9" t="s">
        <v>314</v>
      </c>
      <c r="K122" s="10" t="s">
        <v>14</v>
      </c>
      <c r="L122" s="10" t="s">
        <v>314</v>
      </c>
      <c r="M122" s="10" t="s">
        <v>96</v>
      </c>
    </row>
    <row r="123">
      <c r="A123" s="2" t="s">
        <v>314</v>
      </c>
      <c r="B123" s="3" t="n">
        <v>46168</v>
      </c>
      <c r="C123" s="3" t="n">
        <v>46168</v>
      </c>
      <c r="D123" s="4" t="n">
        <f t="shared" si="8"/>
        <v>0</v>
      </c>
      <c r="E123" s="5" t="n">
        <v>661784.90385740495</v>
      </c>
      <c r="F123" s="6" t="n">
        <v>43.3850803681824</v>
      </c>
      <c r="G123" s="7" t="n">
        <v>483869.96295337199</v>
      </c>
      <c r="H123" s="8" t="n">
        <v>31.721390300865501</v>
      </c>
      <c r="I123" s="14" t="str">
        <f>=HYPERLINK("https://ucloud.univie.ac.at/index.php/f/1515117563","Open Cytogram")</f>
      </c>
      <c r="J123" s="9" t="s">
        <v>314</v>
      </c>
      <c r="K123" t="s">
        <v>14</v>
      </c>
      <c r="L123" t="s">
        <v>314</v>
      </c>
      <c r="M123" t="s">
        <v>96</v>
      </c>
    </row>
    <row r="124">
      <c r="A124" s="2" t="s">
        <v>314</v>
      </c>
      <c r="B124" s="3" t="n">
        <v>46169</v>
      </c>
      <c r="C124" s="3" t="n">
        <v>46168</v>
      </c>
      <c r="D124" s="4" t="n">
        <f t="shared" si="8"/>
        <v>1</v>
      </c>
      <c r="E124" s="5" t="n">
        <v>2073178.9706963899</v>
      </c>
      <c r="F124" s="6" t="n">
        <v>28.815061843049499</v>
      </c>
      <c r="G124" s="7" t="n">
        <v>3643097.23901306</v>
      </c>
      <c r="H124" s="8" t="n">
        <v>50.635315969437301</v>
      </c>
      <c r="I124" s="14" t="str">
        <f>=HYPERLINK("https://ucloud.univie.ac.at/index.php/f/1515117563","Open Cytogram")</f>
      </c>
      <c r="J124" s="9" t="s">
        <v>314</v>
      </c>
      <c r="K124" s="10" t="s">
        <v>14</v>
      </c>
      <c r="L124" s="10" t="s">
        <v>314</v>
      </c>
      <c r="M124" s="10" t="s">
        <v>96</v>
      </c>
    </row>
    <row r="125">
      <c r="A125" s="2" t="s">
        <v>314</v>
      </c>
      <c r="B125" s="3" t="n">
        <v>46171</v>
      </c>
      <c r="C125" s="3" t="n">
        <v>46168</v>
      </c>
      <c r="D125" s="4" t="n">
        <f t="shared" si="8"/>
        <v>3</v>
      </c>
      <c r="E125" s="5" t="n">
        <v>2436912.4116663202</v>
      </c>
      <c r="F125" s="6" t="n">
        <v>25.9489446900809</v>
      </c>
      <c r="G125" s="7" t="n">
        <v>5777139.4064065004</v>
      </c>
      <c r="H125" s="8" t="n">
        <v>61.516643029949101</v>
      </c>
      <c r="I125" s="14" t="str">
        <f>=HYPERLINK("https://ucloud.univie.ac.at/index.php/f/1515117563","Open Cytogram")</f>
      </c>
      <c r="J125" s="9" t="s">
        <v>314</v>
      </c>
      <c r="K125" t="s">
        <v>14</v>
      </c>
      <c r="L125" t="s">
        <v>314</v>
      </c>
      <c r="M125" t="s">
        <v>96</v>
      </c>
    </row>
    <row r="126">
      <c r="A126" s="2" t="s">
        <v>314</v>
      </c>
      <c r="B126" s="3" t="n">
        <v>46175</v>
      </c>
      <c r="C126" s="3" t="n">
        <v>46168</v>
      </c>
      <c r="D126" s="4" t="n">
        <f t="shared" si="8"/>
        <v>7</v>
      </c>
      <c r="E126" s="5" t="n">
        <v>6131954.87733969</v>
      </c>
      <c r="F126" s="6" t="n">
        <v>28.2161645145863</v>
      </c>
      <c r="G126" s="7" t="n">
        <v>14184562.7399885</v>
      </c>
      <c r="H126" s="8" t="n">
        <v>65.270205643232899</v>
      </c>
      <c r="I126" s="14" t="str">
        <f>=HYPERLINK("https://ucloud.univie.ac.at/index.php/f/1515117563","Open Cytogram")</f>
      </c>
      <c r="J126" s="9" t="s">
        <v>314</v>
      </c>
      <c r="K126" s="10" t="s">
        <v>14</v>
      </c>
      <c r="L126" s="10" t="s">
        <v>314</v>
      </c>
      <c r="M126" s="10" t="s">
        <v>96</v>
      </c>
    </row>
    <row r="127">
      <c r="A127" s="2" t="s">
        <v>314</v>
      </c>
      <c r="B127" s="3" t="n">
        <v>46178</v>
      </c>
      <c r="C127" s="3" t="n">
        <v>46168</v>
      </c>
      <c r="D127" s="4" t="n">
        <f t="shared" si="8"/>
        <v>10</v>
      </c>
      <c r="E127" s="5" t="n">
        <v>3338379.5394799099</v>
      </c>
      <c r="F127" s="6" t="n">
        <v>27.8400830737279</v>
      </c>
      <c r="G127" s="7" t="n">
        <v>7299358.7692768397</v>
      </c>
      <c r="H127" s="8" t="n">
        <v>60.872274143302199</v>
      </c>
      <c r="I127" s="14" t="str">
        <f>=HYPERLINK("https://ucloud.univie.ac.at/index.php/f/1525440401","Open Cytogram")</f>
      </c>
      <c r="J127" s="9" t="s">
        <v>314</v>
      </c>
      <c r="K127" t="s">
        <v>14</v>
      </c>
      <c r="L127" t="s">
        <v>314</v>
      </c>
      <c r="M127" t="s">
        <v>28</v>
      </c>
    </row>
    <row r="128">
      <c r="A128" s="2" t="s">
        <v>314</v>
      </c>
      <c r="B128" s="3" t="n">
        <v>46182</v>
      </c>
      <c r="C128" s="3" t="n">
        <v>46168</v>
      </c>
      <c r="D128" s="4" t="n">
        <f t="shared" si="8"/>
        <v>14</v>
      </c>
      <c r="E128" s="5" t="n">
        <v>5934620.2481019199</v>
      </c>
      <c r="F128" s="6" t="n">
        <v>24.848153072130501</v>
      </c>
      <c r="G128" s="7" t="n">
        <v>16757270.6648828</v>
      </c>
      <c r="H128" s="8" t="n">
        <v>70.162404525429494</v>
      </c>
      <c r="I128" s="14" t="str">
        <f>=HYPERLINK("https://ucloud.univie.ac.at/index.php/f/1525440401","Open Cytogram")</f>
      </c>
      <c r="J128" s="9" t="s">
        <v>314</v>
      </c>
      <c r="K128" s="10" t="s">
        <v>14</v>
      </c>
      <c r="L128" s="10" t="s">
        <v>314</v>
      </c>
      <c r="M128" s="10" t="s">
        <v>28</v>
      </c>
    </row>
    <row r="129">
      <c r="A129" s="2" t="s">
        <v>314</v>
      </c>
      <c r="B129" s="3" t="n">
        <v>46188</v>
      </c>
      <c r="C129" s="3" t="n">
        <v>46168</v>
      </c>
      <c r="D129" s="4" t="n">
        <f t="shared" si="8"/>
        <v>20</v>
      </c>
      <c r="E129" s="5" t="n">
        <v>4635490.1977931503</v>
      </c>
      <c r="F129" s="6" t="n">
        <v>36.052055651086398</v>
      </c>
      <c r="G129" s="7" t="n">
        <v>6790679.0821654899</v>
      </c>
      <c r="H129" s="8" t="n">
        <v>52.813818977645802</v>
      </c>
      <c r="I129" s="14" t="str">
        <f>=HYPERLINK("https://ucloud.univie.ac.at/index.php/f/1525440401","Open Cytogram")</f>
      </c>
      <c r="J129" s="9" t="s">
        <v>314</v>
      </c>
      <c r="K129" t="s">
        <v>14</v>
      </c>
      <c r="L129" t="s">
        <v>314</v>
      </c>
      <c r="M129" t="s">
        <v>28</v>
      </c>
    </row>
    <row r="130">
      <c r="A130" s="2" t="s">
        <v>314</v>
      </c>
      <c r="B130" s="3" t="n">
        <v>46196</v>
      </c>
      <c r="C130" s="3" t="n">
        <v>46168</v>
      </c>
      <c r="D130" s="4" t="n">
        <f t="shared" ref="D130:D193" si="16">IF(OR(C130="",B130=""),"",B130-C130)</f>
        <v>28</v>
      </c>
      <c r="E130" s="5" t="n">
        <v>5091068.0986962402</v>
      </c>
      <c r="F130" s="6" t="n">
        <v>33.709115714644703</v>
      </c>
      <c r="G130" s="7" t="n">
        <v>8571690.75558527</v>
      </c>
      <c r="H130" s="8" t="n">
        <v>56.755107169784203</v>
      </c>
      <c r="I130" s="9" t="s">
        <v>314</v>
      </c>
      <c r="J130" s="9" t="s">
        <v>314</v>
      </c>
      <c r="K130" s="10" t="s">
        <v>14</v>
      </c>
      <c r="L130" s="10" t="s">
        <v>314</v>
      </c>
      <c r="M130" s="10" t="s">
        <v>14</v>
      </c>
    </row>
    <row r="131">
      <c r="A131" s="2" t="s">
        <v>314</v>
      </c>
      <c r="B131" s="3" t="n">
        <v>46204</v>
      </c>
      <c r="C131" s="3" t="n">
        <v>46168</v>
      </c>
      <c r="D131" s="4" t="n">
        <f t="shared" si="16"/>
        <v>36</v>
      </c>
      <c r="E131" s="5" t="n">
        <v>1475479.0900508</v>
      </c>
      <c r="F131" s="6" t="n">
        <v>38.4375</v>
      </c>
      <c r="G131" s="7" t="n">
        <v>1087330.4095670499</v>
      </c>
      <c r="H131" s="8" t="n">
        <v>28.3258928571429</v>
      </c>
      <c r="I131" s="14" t="str">
        <f>=HYPERLINK("https://ucloud.univie.ac.at/index.php/f/1547933978","Open Cytogram")</f>
      </c>
      <c r="J131" s="9" t="s">
        <v>314</v>
      </c>
      <c r="K131" t="s">
        <v>14</v>
      </c>
      <c r="L131" t="s">
        <v>314</v>
      </c>
      <c r="M131" t="s">
        <v>36</v>
      </c>
    </row>
    <row r="132">
      <c r="A132" s="17" t="s">
        <v>314</v>
      </c>
      <c r="B132" s="18" t="n">
        <v>46213</v>
      </c>
      <c r="C132" s="18" t="n">
        <v>46168</v>
      </c>
      <c r="D132" s="19" t="n">
        <f t="shared" si="16"/>
        <v>45</v>
      </c>
      <c r="E132" s="20" t="n">
        <v>8021971.7525477102</v>
      </c>
      <c r="F132" s="21" t="n">
        <v>40.155298514675998</v>
      </c>
      <c r="G132" s="22" t="n">
        <v>9385249.9497631509</v>
      </c>
      <c r="H132" s="23" t="n">
        <v>46.979411669942301</v>
      </c>
      <c r="I132" s="24" t="str">
        <f>=HYPERLINK("https://ucloud.univie.ac.at/index.php/f/1552579218","Open Cytogram")</f>
      </c>
      <c r="J132" s="15" t="s">
        <v>314</v>
      </c>
      <c r="K132" s="16" t="s">
        <v>14</v>
      </c>
      <c r="L132" s="16" t="s">
        <v>314</v>
      </c>
      <c r="M132" s="16" t="s">
        <v>37</v>
      </c>
    </row>
    <row r="133">
      <c r="A133" s="2" t="s">
        <v>97</v>
      </c>
      <c r="B133" s="3" t="n">
        <v>46168</v>
      </c>
      <c r="C133" s="3" t="n">
        <v>46168</v>
      </c>
      <c r="D133" s="4" t="n">
        <f t="shared" si="16"/>
        <v>0</v>
      </c>
      <c r="E133" s="5" t="n">
        <v>5221192.2815468004</v>
      </c>
      <c r="F133" s="6" t="n">
        <v>57.933165692125897</v>
      </c>
      <c r="G133" s="7" t="n">
        <v>2395708.6642763098</v>
      </c>
      <c r="H133" s="8" t="n">
        <v>26.582240130881299</v>
      </c>
      <c r="I133" s="14" t="str">
        <f>=HYPERLINK("https://ucloud.univie.ac.at/index.php/f/1515117563","Open Cytogram")</f>
      </c>
      <c r="J133" s="9" t="s">
        <v>314</v>
      </c>
      <c r="K133" t="s">
        <v>14</v>
      </c>
      <c r="L133" t="s">
        <v>314</v>
      </c>
      <c r="M133" t="s">
        <v>96</v>
      </c>
    </row>
    <row r="134">
      <c r="A134" s="2" t="s">
        <v>314</v>
      </c>
      <c r="B134" s="3" t="n">
        <v>46168</v>
      </c>
      <c r="C134" s="3" t="n">
        <v>46168</v>
      </c>
      <c r="D134" s="4" t="n">
        <f t="shared" si="16"/>
        <v>0</v>
      </c>
      <c r="E134" s="5" t="n">
        <v>2401327.8066187501</v>
      </c>
      <c r="F134" s="6" t="n">
        <v>45.374990100578103</v>
      </c>
      <c r="G134" s="7" t="n">
        <v>1994365.71564627</v>
      </c>
      <c r="H134" s="8" t="n">
        <v>37.685119189039398</v>
      </c>
      <c r="I134" s="14" t="str">
        <f>=HYPERLINK("https://ucloud.univie.ac.at/index.php/f/1515117563","Open Cytogram")</f>
      </c>
      <c r="J134" s="9" t="s">
        <v>314</v>
      </c>
      <c r="K134" s="10" t="s">
        <v>14</v>
      </c>
      <c r="L134" s="10" t="s">
        <v>314</v>
      </c>
      <c r="M134" s="10" t="s">
        <v>96</v>
      </c>
    </row>
    <row r="135">
      <c r="A135" s="2" t="s">
        <v>314</v>
      </c>
      <c r="B135" s="3" t="n">
        <v>46169</v>
      </c>
      <c r="C135" s="3" t="n">
        <v>46168</v>
      </c>
      <c r="D135" s="4" t="n">
        <f t="shared" si="16"/>
        <v>1</v>
      </c>
      <c r="E135" s="5" t="n">
        <v>1195118.63828427</v>
      </c>
      <c r="F135" s="6" t="n">
        <v>27.396247868106901</v>
      </c>
      <c r="G135" s="7" t="n">
        <v>1983267.01605298</v>
      </c>
      <c r="H135" s="8" t="n">
        <v>45.463331438317198</v>
      </c>
      <c r="I135" s="14" t="str">
        <f>=HYPERLINK("https://ucloud.univie.ac.at/index.php/f/1515117563","Open Cytogram")</f>
      </c>
      <c r="J135" s="9" t="s">
        <v>314</v>
      </c>
      <c r="K135" t="s">
        <v>14</v>
      </c>
      <c r="L135" t="s">
        <v>314</v>
      </c>
      <c r="M135" t="s">
        <v>96</v>
      </c>
    </row>
    <row r="136">
      <c r="A136" s="2" t="s">
        <v>314</v>
      </c>
      <c r="B136" s="3" t="n">
        <v>46171</v>
      </c>
      <c r="C136" s="3" t="n">
        <v>46168</v>
      </c>
      <c r="D136" s="4" t="n">
        <f t="shared" si="16"/>
        <v>3</v>
      </c>
      <c r="E136" s="5" t="n">
        <v>1669841.48562683</v>
      </c>
      <c r="F136" s="6" t="n">
        <v>25.960902823685</v>
      </c>
      <c r="G136" s="7" t="n">
        <v>3843854.8275906001</v>
      </c>
      <c r="H136" s="8" t="n">
        <v>59.760128435168603</v>
      </c>
      <c r="I136" s="14" t="str">
        <f>=HYPERLINK("https://ucloud.univie.ac.at/index.php/f/1515117563","Open Cytogram")</f>
      </c>
      <c r="J136" s="9" t="s">
        <v>314</v>
      </c>
      <c r="K136" s="10" t="s">
        <v>14</v>
      </c>
      <c r="L136" s="10" t="s">
        <v>314</v>
      </c>
      <c r="M136" s="10" t="s">
        <v>96</v>
      </c>
    </row>
    <row r="137">
      <c r="A137" s="2" t="s">
        <v>314</v>
      </c>
      <c r="B137" s="3" t="n">
        <v>46175</v>
      </c>
      <c r="C137" s="3" t="n">
        <v>46168</v>
      </c>
      <c r="D137" s="4" t="n">
        <f t="shared" si="16"/>
        <v>7</v>
      </c>
      <c r="E137" s="5" t="n">
        <v>3600877.9093259098</v>
      </c>
      <c r="F137" s="6" t="n">
        <v>24.321415200299501</v>
      </c>
      <c r="G137" s="7" t="n">
        <v>9723132.5190630294</v>
      </c>
      <c r="H137" s="8" t="n">
        <v>65.672968925496093</v>
      </c>
      <c r="I137" s="14" t="str">
        <f>=HYPERLINK("https://ucloud.univie.ac.at/index.php/f/1515117563","Open Cytogram")</f>
      </c>
      <c r="J137" s="9" t="s">
        <v>314</v>
      </c>
      <c r="K137" t="s">
        <v>14</v>
      </c>
      <c r="L137" t="s">
        <v>314</v>
      </c>
      <c r="M137" t="s">
        <v>96</v>
      </c>
    </row>
    <row r="138">
      <c r="A138" s="2" t="s">
        <v>314</v>
      </c>
      <c r="B138" s="3" t="n">
        <v>46178</v>
      </c>
      <c r="C138" s="3" t="n">
        <v>46168</v>
      </c>
      <c r="D138" s="4" t="n">
        <f t="shared" si="16"/>
        <v>10</v>
      </c>
      <c r="E138" s="5" t="n">
        <v>2969680.0733028799</v>
      </c>
      <c r="F138" s="6" t="n">
        <v>36.513362336855202</v>
      </c>
      <c r="G138" s="7" t="n">
        <v>3962943.2807990802</v>
      </c>
      <c r="H138" s="8" t="n">
        <v>48.725916718458699</v>
      </c>
      <c r="I138" s="14" t="str">
        <f>=HYPERLINK("https://ucloud.univie.ac.at/index.php/f/1525440401","Open Cytogram")</f>
      </c>
      <c r="J138" s="9" t="s">
        <v>314</v>
      </c>
      <c r="K138" s="10" t="s">
        <v>14</v>
      </c>
      <c r="L138" s="10" t="s">
        <v>314</v>
      </c>
      <c r="M138" s="10" t="s">
        <v>28</v>
      </c>
    </row>
    <row r="139">
      <c r="A139" s="2" t="s">
        <v>314</v>
      </c>
      <c r="B139" s="3" t="n">
        <v>46182</v>
      </c>
      <c r="C139" s="3" t="n">
        <v>46168</v>
      </c>
      <c r="D139" s="4" t="n">
        <f t="shared" si="16"/>
        <v>14</v>
      </c>
      <c r="E139" s="5" t="n">
        <v>3647862.3311777301</v>
      </c>
      <c r="F139" s="6" t="n">
        <v>40.070331297427401</v>
      </c>
      <c r="G139" s="7" t="n">
        <v>4454520.1099543199</v>
      </c>
      <c r="H139" s="8" t="n">
        <v>48.931149361465899</v>
      </c>
      <c r="I139" s="14" t="str">
        <f>=HYPERLINK("https://ucloud.univie.ac.at/index.php/f/1525440401","Open Cytogram")</f>
      </c>
      <c r="J139" s="9" t="s">
        <v>314</v>
      </c>
      <c r="K139" t="s">
        <v>14</v>
      </c>
      <c r="L139" t="s">
        <v>314</v>
      </c>
      <c r="M139" t="s">
        <v>28</v>
      </c>
    </row>
    <row r="140">
      <c r="A140" s="2" t="s">
        <v>314</v>
      </c>
      <c r="B140" s="3" t="n">
        <v>46196</v>
      </c>
      <c r="C140" s="3" t="n">
        <v>46168</v>
      </c>
      <c r="D140" s="4" t="n">
        <f t="shared" si="16"/>
        <v>28</v>
      </c>
      <c r="E140" s="5" t="n">
        <v>5675600.1479447801</v>
      </c>
      <c r="F140" s="6" t="n">
        <v>28.5686991648016</v>
      </c>
      <c r="G140" s="7" t="n">
        <v>12519722.156864099</v>
      </c>
      <c r="H140" s="8" t="n">
        <v>63.019269610786601</v>
      </c>
      <c r="I140" s="14" t="str">
        <f>=HYPERLINK("https://ucloud.univie.ac.at/index.php/f/1547933978","Open Cytogram")</f>
      </c>
      <c r="J140" s="9" t="s">
        <v>314</v>
      </c>
      <c r="K140" s="10" t="s">
        <v>14</v>
      </c>
      <c r="L140" s="10" t="s">
        <v>314</v>
      </c>
      <c r="M140" s="10" t="s">
        <v>36</v>
      </c>
    </row>
    <row r="141">
      <c r="A141" s="2" t="s">
        <v>314</v>
      </c>
      <c r="B141" s="3" t="n">
        <v>46204</v>
      </c>
      <c r="C141" s="3" t="n">
        <v>46168</v>
      </c>
      <c r="D141" s="4" t="n">
        <f t="shared" si="16"/>
        <v>36</v>
      </c>
      <c r="E141" s="5" t="n">
        <v>3707119.7927437802</v>
      </c>
      <c r="F141" s="6" t="n">
        <v>28.3092324805339</v>
      </c>
      <c r="G141" s="7" t="n">
        <v>7071931.8639572002</v>
      </c>
      <c r="H141" s="8" t="n">
        <v>54.004449388209103</v>
      </c>
      <c r="I141" s="14" t="str">
        <f>=HYPERLINK("https://ucloud.univie.ac.at/index.php/f/1543012007","Open Cytogram")</f>
      </c>
      <c r="J141" s="9" t="s">
        <v>314</v>
      </c>
      <c r="K141" t="s">
        <v>14</v>
      </c>
      <c r="L141" t="s">
        <v>314</v>
      </c>
      <c r="M141" t="s">
        <v>46</v>
      </c>
    </row>
    <row r="142">
      <c r="A142" s="17" t="s">
        <v>314</v>
      </c>
      <c r="B142" s="18" t="n">
        <v>46213</v>
      </c>
      <c r="C142" s="18" t="n">
        <v>46168</v>
      </c>
      <c r="D142" s="19" t="n">
        <f t="shared" si="16"/>
        <v>45</v>
      </c>
      <c r="E142" s="20" t="n">
        <v>2349890.1593471798</v>
      </c>
      <c r="F142" s="21" t="n">
        <v>42.622729421297898</v>
      </c>
      <c r="G142" s="22" t="n">
        <v>783296.71978239296</v>
      </c>
      <c r="H142" s="23" t="n">
        <v>14.207576473766</v>
      </c>
      <c r="I142" s="24" t="str">
        <f>=HYPERLINK("https://ucloud.univie.ac.at/index.php/f/1552579218","Open Cytogram")</f>
      </c>
      <c r="J142" s="15" t="s">
        <v>314</v>
      </c>
      <c r="K142" s="16" t="s">
        <v>14</v>
      </c>
      <c r="L142" s="16" t="s">
        <v>314</v>
      </c>
      <c r="M142" s="16" t="s">
        <v>37</v>
      </c>
    </row>
    <row r="143">
      <c r="A143" s="2" t="s">
        <v>98</v>
      </c>
      <c r="B143" s="3" t="n">
        <v>46168</v>
      </c>
      <c r="C143" s="3" t="n">
        <v>46168</v>
      </c>
      <c r="D143" s="4" t="n">
        <f t="shared" si="16"/>
        <v>0</v>
      </c>
      <c r="E143" s="5" t="n">
        <v>2932243.91100355</v>
      </c>
      <c r="F143" s="6" t="n">
        <v>55.197776352362602</v>
      </c>
      <c r="G143" s="7" t="n">
        <v>690581.15040678706</v>
      </c>
      <c r="H143" s="8" t="n">
        <v>12.999786187727199</v>
      </c>
      <c r="I143" s="14" t="str">
        <f>=HYPERLINK("https://ucloud.univie.ac.at/index.php/f/1515117563","Open Cytogram")</f>
      </c>
      <c r="J143" s="9" t="s">
        <v>314</v>
      </c>
      <c r="K143" t="s">
        <v>14</v>
      </c>
      <c r="L143" t="s">
        <v>314</v>
      </c>
      <c r="M143" t="s">
        <v>96</v>
      </c>
    </row>
    <row r="144">
      <c r="A144" s="2" t="s">
        <v>314</v>
      </c>
      <c r="B144" s="3" t="n">
        <v>46168</v>
      </c>
      <c r="C144" s="3" t="n">
        <v>46168</v>
      </c>
      <c r="D144" s="4" t="n">
        <f t="shared" si="16"/>
        <v>0</v>
      </c>
      <c r="E144" s="5" t="n">
        <v>1276628.76323601</v>
      </c>
      <c r="F144" s="6" t="n">
        <v>41.0705858558619</v>
      </c>
      <c r="G144" s="7" t="n">
        <v>1030816.9544251401</v>
      </c>
      <c r="H144" s="8" t="n">
        <v>33.162542978493903</v>
      </c>
      <c r="I144" s="14" t="str">
        <f>=HYPERLINK("https://ucloud.univie.ac.at/index.php/f/1515117563","Open Cytogram")</f>
      </c>
      <c r="J144" s="9" t="s">
        <v>314</v>
      </c>
      <c r="K144" s="10" t="s">
        <v>14</v>
      </c>
      <c r="L144" s="10" t="s">
        <v>314</v>
      </c>
      <c r="M144" s="10" t="s">
        <v>96</v>
      </c>
    </row>
    <row r="145">
      <c r="A145" s="2" t="s">
        <v>314</v>
      </c>
      <c r="B145" s="3" t="n">
        <v>46169</v>
      </c>
      <c r="C145" s="3" t="n">
        <v>46168</v>
      </c>
      <c r="D145" s="4" t="n">
        <f t="shared" si="16"/>
        <v>1</v>
      </c>
      <c r="E145" s="5" t="n">
        <v>606671.08824166795</v>
      </c>
      <c r="F145" s="6" t="n">
        <v>25.071447129124401</v>
      </c>
      <c r="G145" s="7" t="n">
        <v>963758.31945541699</v>
      </c>
      <c r="H145" s="8" t="n">
        <v>39.828526890101301</v>
      </c>
      <c r="I145" s="14" t="str">
        <f>=HYPERLINK("https://ucloud.univie.ac.at/index.php/f/1515117563","Open Cytogram")</f>
      </c>
      <c r="J145" s="9" t="s">
        <v>314</v>
      </c>
      <c r="K145" t="s">
        <v>14</v>
      </c>
      <c r="L145" t="s">
        <v>314</v>
      </c>
      <c r="M145" t="s">
        <v>96</v>
      </c>
    </row>
    <row r="146">
      <c r="A146" s="2" t="s">
        <v>314</v>
      </c>
      <c r="B146" s="3" t="n">
        <v>46171</v>
      </c>
      <c r="C146" s="3" t="n">
        <v>46168</v>
      </c>
      <c r="D146" s="4" t="n">
        <f t="shared" si="16"/>
        <v>3</v>
      </c>
      <c r="E146" s="5" t="n">
        <v>1787042.9869830799</v>
      </c>
      <c r="F146" s="6" t="n">
        <v>19.105452717983098</v>
      </c>
      <c r="G146" s="7" t="n">
        <v>6651858.16789997</v>
      </c>
      <c r="H146" s="8" t="n">
        <v>71.115671329257097</v>
      </c>
      <c r="I146" s="14" t="str">
        <f>=HYPERLINK("https://ucloud.univie.ac.at/index.php/f/1515117563","Open Cytogram")</f>
      </c>
      <c r="J146" s="9" t="s">
        <v>314</v>
      </c>
      <c r="K146" s="10" t="s">
        <v>14</v>
      </c>
      <c r="L146" s="10" t="s">
        <v>314</v>
      </c>
      <c r="M146" s="10" t="s">
        <v>96</v>
      </c>
    </row>
    <row r="147">
      <c r="A147" s="2" t="s">
        <v>314</v>
      </c>
      <c r="B147" s="3" t="n">
        <v>46175</v>
      </c>
      <c r="C147" s="3" t="n">
        <v>46168</v>
      </c>
      <c r="D147" s="4" t="n">
        <f t="shared" si="16"/>
        <v>7</v>
      </c>
      <c r="E147" s="5" t="n">
        <v>2742404.2264983598</v>
      </c>
      <c r="F147" s="6" t="n">
        <v>21.685294762217801</v>
      </c>
      <c r="G147" s="7" t="n">
        <v>9058664.1882869005</v>
      </c>
      <c r="H147" s="8" t="n">
        <v>71.630506245890899</v>
      </c>
      <c r="I147" s="14" t="str">
        <f>=HYPERLINK("https://ucloud.univie.ac.at/index.php/f/1515117563","Open Cytogram")</f>
      </c>
      <c r="J147" s="9" t="s">
        <v>314</v>
      </c>
      <c r="K147" t="s">
        <v>14</v>
      </c>
      <c r="L147" t="s">
        <v>314</v>
      </c>
      <c r="M147" t="s">
        <v>96</v>
      </c>
    </row>
    <row r="148">
      <c r="A148" s="2" t="s">
        <v>314</v>
      </c>
      <c r="B148" s="3" t="n">
        <v>46178</v>
      </c>
      <c r="C148" s="3" t="n">
        <v>46168</v>
      </c>
      <c r="D148" s="4" t="n">
        <f t="shared" si="16"/>
        <v>10</v>
      </c>
      <c r="E148" s="5" t="n">
        <v>3528499.96410878</v>
      </c>
      <c r="F148" s="6" t="n">
        <v>22.083149883640498</v>
      </c>
      <c r="G148" s="7" t="n">
        <v>11346273.026143</v>
      </c>
      <c r="H148" s="8" t="n">
        <v>71.010755393420993</v>
      </c>
      <c r="I148" s="14" t="str">
        <f>=HYPERLINK("https://ucloud.univie.ac.at/index.php/f/1525440401","Open Cytogram")</f>
      </c>
      <c r="J148" s="9" t="s">
        <v>314</v>
      </c>
      <c r="K148" s="10" t="s">
        <v>14</v>
      </c>
      <c r="L148" s="10" t="s">
        <v>314</v>
      </c>
      <c r="M148" s="10" t="s">
        <v>28</v>
      </c>
    </row>
    <row r="149">
      <c r="A149" s="2" t="s">
        <v>314</v>
      </c>
      <c r="B149" s="3" t="n">
        <v>46182</v>
      </c>
      <c r="C149" s="3" t="n">
        <v>46168</v>
      </c>
      <c r="D149" s="4" t="n">
        <f t="shared" si="16"/>
        <v>14</v>
      </c>
      <c r="E149" s="5" t="n">
        <v>2153394.7251022402</v>
      </c>
      <c r="F149" s="6" t="n">
        <v>25.358897774352101</v>
      </c>
      <c r="G149" s="7" t="n">
        <v>4619326.2226167498</v>
      </c>
      <c r="H149" s="8" t="n">
        <v>54.3983042682339</v>
      </c>
      <c r="I149" s="14" t="str">
        <f>=HYPERLINK("https://ucloud.univie.ac.at/index.php/f/1525440401","Open Cytogram")</f>
      </c>
      <c r="J149" s="9" t="s">
        <v>314</v>
      </c>
      <c r="K149" t="s">
        <v>14</v>
      </c>
      <c r="L149" t="s">
        <v>314</v>
      </c>
      <c r="M149" t="s">
        <v>28</v>
      </c>
    </row>
    <row r="150">
      <c r="A150" s="2" t="s">
        <v>314</v>
      </c>
      <c r="B150" s="3" t="n">
        <v>46188</v>
      </c>
      <c r="C150" s="3" t="n">
        <v>46168</v>
      </c>
      <c r="D150" s="4" t="n">
        <f t="shared" si="16"/>
        <v>20</v>
      </c>
      <c r="E150" s="5" t="n">
        <v>6145479.1456921697</v>
      </c>
      <c r="F150" s="6" t="n">
        <v>30.4478801005801</v>
      </c>
      <c r="G150" s="7" t="n">
        <v>12784405.5948242</v>
      </c>
      <c r="H150" s="8" t="n">
        <v>63.340553190430001</v>
      </c>
      <c r="I150" s="14" t="str">
        <f>=HYPERLINK("https://ucloud.univie.ac.at/index.php/f/1525440401","Open Cytogram")</f>
      </c>
      <c r="J150" s="9" t="s">
        <v>314</v>
      </c>
      <c r="K150" s="10" t="s">
        <v>14</v>
      </c>
      <c r="L150" s="10" t="s">
        <v>314</v>
      </c>
      <c r="M150" s="10" t="s">
        <v>28</v>
      </c>
    </row>
    <row r="151">
      <c r="A151" s="2" t="s">
        <v>314</v>
      </c>
      <c r="B151" s="3" t="n">
        <v>46196</v>
      </c>
      <c r="C151" s="3" t="n">
        <v>46168</v>
      </c>
      <c r="D151" s="4" t="n">
        <f t="shared" si="16"/>
        <v>28</v>
      </c>
      <c r="E151" s="5" t="n">
        <v>2721159.2794463001</v>
      </c>
      <c r="F151" s="6" t="n">
        <v>47.7481170261823</v>
      </c>
      <c r="G151" s="7" t="n">
        <v>1960204.12521976</v>
      </c>
      <c r="H151" s="8" t="n">
        <v>34.395655069938996</v>
      </c>
      <c r="I151" s="14" t="str">
        <f>=HYPERLINK("https://ucloud.univie.ac.at/index.php/f/1547933978","Open Cytogram")</f>
      </c>
      <c r="J151" s="9" t="s">
        <v>314</v>
      </c>
      <c r="K151" t="s">
        <v>14</v>
      </c>
      <c r="L151" t="s">
        <v>314</v>
      </c>
      <c r="M151" t="s">
        <v>36</v>
      </c>
    </row>
    <row r="152">
      <c r="A152" s="2" t="s">
        <v>314</v>
      </c>
      <c r="B152" s="3" t="n">
        <v>46204</v>
      </c>
      <c r="C152" s="3" t="n">
        <v>46168</v>
      </c>
      <c r="D152" s="4" t="n">
        <f t="shared" si="16"/>
        <v>36</v>
      </c>
      <c r="E152" s="5" t="n">
        <v>5338027.0943153501</v>
      </c>
      <c r="F152" s="6" t="n">
        <v>19.522966166018801</v>
      </c>
      <c r="G152" s="7" t="n">
        <v>19181176.5288193</v>
      </c>
      <c r="H152" s="8" t="n">
        <v>70.152034408997807</v>
      </c>
      <c r="I152" s="14" t="str">
        <f>=HYPERLINK("https://ucloud.univie.ac.at/index.php/f/1543012007","Open Cytogram")</f>
      </c>
      <c r="J152" s="9" t="s">
        <v>314</v>
      </c>
      <c r="K152" s="10" t="s">
        <v>14</v>
      </c>
      <c r="L152" s="10" t="s">
        <v>314</v>
      </c>
      <c r="M152" s="10" t="s">
        <v>46</v>
      </c>
    </row>
    <row r="153">
      <c r="A153" s="17" t="s">
        <v>314</v>
      </c>
      <c r="B153" s="18" t="n">
        <v>46213</v>
      </c>
      <c r="C153" s="18" t="n">
        <v>46168</v>
      </c>
      <c r="D153" s="19" t="n">
        <f t="shared" si="16"/>
        <v>45</v>
      </c>
      <c r="E153" s="20" t="n">
        <v>7368010.1621931801</v>
      </c>
      <c r="F153" s="21" t="n">
        <v>35.960668509675799</v>
      </c>
      <c r="G153" s="22" t="n">
        <v>10161507.506817801</v>
      </c>
      <c r="H153" s="23" t="n">
        <v>49.594747423975903</v>
      </c>
      <c r="I153" s="24" t="str">
        <f>=HYPERLINK("https://ucloud.univie.ac.at/index.php/f/1552579218","Open Cytogram")</f>
      </c>
      <c r="J153" s="15" t="s">
        <v>314</v>
      </c>
      <c r="K153" s="25" t="s">
        <v>14</v>
      </c>
      <c r="L153" s="25" t="s">
        <v>314</v>
      </c>
      <c r="M153" s="25" t="s">
        <v>37</v>
      </c>
    </row>
    <row r="154">
      <c r="A154" s="2" t="s">
        <v>99</v>
      </c>
      <c r="B154" s="3" t="n">
        <v>46168</v>
      </c>
      <c r="C154" s="3" t="n">
        <v>46168</v>
      </c>
      <c r="D154" s="4" t="n">
        <f t="shared" si="16"/>
        <v>0</v>
      </c>
      <c r="E154" s="5" t="n">
        <v>1155360.43781872</v>
      </c>
      <c r="F154" s="6" t="n">
        <v>49.735967142577699</v>
      </c>
      <c r="G154" s="7" t="n">
        <v>634244.26708412799</v>
      </c>
      <c r="H154" s="8" t="n">
        <v>27.3029532564052</v>
      </c>
      <c r="I154" s="14" t="str">
        <f>=HYPERLINK("https://ucloud.univie.ac.at/index.php/f/1515117563","Open Cytogram")</f>
      </c>
      <c r="J154" s="9" t="s">
        <v>314</v>
      </c>
      <c r="K154" s="10" t="s">
        <v>14</v>
      </c>
      <c r="L154" s="10" t="s">
        <v>314</v>
      </c>
      <c r="M154" s="10" t="s">
        <v>96</v>
      </c>
    </row>
    <row r="155">
      <c r="A155" s="2" t="s">
        <v>314</v>
      </c>
      <c r="B155" s="3" t="n">
        <v>46168</v>
      </c>
      <c r="C155" s="3" t="n">
        <v>46168</v>
      </c>
      <c r="D155" s="4" t="n">
        <f t="shared" si="16"/>
        <v>0</v>
      </c>
      <c r="E155" s="5" t="n">
        <v>1291926.5143384701</v>
      </c>
      <c r="F155" s="6" t="n">
        <v>39.275020704593203</v>
      </c>
      <c r="G155" s="7" t="n">
        <v>1262797.9197734999</v>
      </c>
      <c r="H155" s="8" t="n">
        <v>38.389501178569198</v>
      </c>
      <c r="I155" s="14" t="str">
        <f>=HYPERLINK("https://ucloud.univie.ac.at/index.php/f/1515117563","Open Cytogram")</f>
      </c>
      <c r="J155" s="9" t="s">
        <v>314</v>
      </c>
      <c r="K155" t="s">
        <v>14</v>
      </c>
      <c r="L155" t="s">
        <v>314</v>
      </c>
      <c r="M155" t="s">
        <v>96</v>
      </c>
    </row>
    <row r="156">
      <c r="A156" s="2" t="s">
        <v>314</v>
      </c>
      <c r="B156" s="3" t="n">
        <v>46169</v>
      </c>
      <c r="C156" s="3" t="n">
        <v>46168</v>
      </c>
      <c r="D156" s="4" t="n">
        <f t="shared" si="16"/>
        <v>1</v>
      </c>
      <c r="E156" s="5" t="n">
        <v>1240584.74693978</v>
      </c>
      <c r="F156" s="6" t="n">
        <v>27.449343905040099</v>
      </c>
      <c r="G156" s="7" t="n">
        <v>2357320.5774198701</v>
      </c>
      <c r="H156" s="8" t="n">
        <v>52.158390133073702</v>
      </c>
      <c r="I156" s="14" t="str">
        <f>=HYPERLINK("https://ucloud.univie.ac.at/index.php/f/1515117563","Open Cytogram")</f>
      </c>
      <c r="J156" s="9" t="s">
        <v>314</v>
      </c>
      <c r="K156" s="10" t="s">
        <v>14</v>
      </c>
      <c r="L156" s="10" t="s">
        <v>314</v>
      </c>
      <c r="M156" s="10" t="s">
        <v>96</v>
      </c>
    </row>
    <row r="157">
      <c r="A157" s="2" t="s">
        <v>314</v>
      </c>
      <c r="B157" s="3" t="n">
        <v>46171</v>
      </c>
      <c r="C157" s="3" t="n">
        <v>46168</v>
      </c>
      <c r="D157" s="4" t="n">
        <f t="shared" si="16"/>
        <v>3</v>
      </c>
      <c r="E157" s="5" t="n">
        <v>1999196.4181455199</v>
      </c>
      <c r="F157" s="6" t="n">
        <v>25.4209266913204</v>
      </c>
      <c r="G157" s="7" t="n">
        <v>4965315.4920636201</v>
      </c>
      <c r="H157" s="8" t="n">
        <v>63.136828366325901</v>
      </c>
      <c r="I157" s="14" t="str">
        <f>=HYPERLINK("https://ucloud.univie.ac.at/index.php/f/1515117563","Open Cytogram")</f>
      </c>
      <c r="J157" s="9" t="s">
        <v>314</v>
      </c>
      <c r="K157" t="s">
        <v>14</v>
      </c>
      <c r="L157" t="s">
        <v>314</v>
      </c>
      <c r="M157" t="s">
        <v>96</v>
      </c>
    </row>
    <row r="158">
      <c r="A158" s="2" t="s">
        <v>314</v>
      </c>
      <c r="B158" s="3" t="n">
        <v>46175</v>
      </c>
      <c r="C158" s="3" t="n">
        <v>46168</v>
      </c>
      <c r="D158" s="4" t="n">
        <f t="shared" si="16"/>
        <v>7</v>
      </c>
      <c r="E158" s="5" t="n">
        <v>1987203.90180566</v>
      </c>
      <c r="F158" s="6" t="n">
        <v>27.706457175704202</v>
      </c>
      <c r="G158" s="7" t="n">
        <v>4507627.1078302702</v>
      </c>
      <c r="H158" s="8" t="n">
        <v>62.847288752634597</v>
      </c>
      <c r="I158" s="14" t="str">
        <f>=HYPERLINK("https://ucloud.univie.ac.at/index.php/f/1515117563","Open Cytogram")</f>
      </c>
      <c r="J158" s="9" t="s">
        <v>314</v>
      </c>
      <c r="K158" s="10" t="s">
        <v>14</v>
      </c>
      <c r="L158" s="10" t="s">
        <v>314</v>
      </c>
      <c r="M158" s="10" t="s">
        <v>96</v>
      </c>
    </row>
    <row r="159">
      <c r="A159" s="2" t="s">
        <v>314</v>
      </c>
      <c r="B159" s="3" t="n">
        <v>46178</v>
      </c>
      <c r="C159" s="3" t="n">
        <v>46168</v>
      </c>
      <c r="D159" s="4" t="n">
        <f t="shared" si="16"/>
        <v>10</v>
      </c>
      <c r="E159" s="5" t="n">
        <v>3761153.83528258</v>
      </c>
      <c r="F159" s="6" t="n">
        <v>35.343280763056001</v>
      </c>
      <c r="G159" s="7" t="n">
        <v>5165619.4290854903</v>
      </c>
      <c r="H159" s="8" t="n">
        <v>48.5409387099821</v>
      </c>
      <c r="I159" s="14" t="str">
        <f>=HYPERLINK("https://ucloud.univie.ac.at/index.php/f/1525440401","Open Cytogram")</f>
      </c>
      <c r="J159" s="9" t="s">
        <v>314</v>
      </c>
      <c r="K159" t="s">
        <v>14</v>
      </c>
      <c r="L159" t="s">
        <v>314</v>
      </c>
      <c r="M159" t="s">
        <v>28</v>
      </c>
    </row>
    <row r="160">
      <c r="A160" s="2" t="s">
        <v>314</v>
      </c>
      <c r="B160" s="3" t="n">
        <v>46182</v>
      </c>
      <c r="C160" s="3" t="n">
        <v>46168</v>
      </c>
      <c r="D160" s="4" t="n">
        <f t="shared" si="16"/>
        <v>14</v>
      </c>
      <c r="E160" s="5" t="n">
        <v>2894354.8552074302</v>
      </c>
      <c r="F160" s="6" t="n">
        <v>38.224168823412299</v>
      </c>
      <c r="G160" s="7" t="n">
        <v>3533022.3935700501</v>
      </c>
      <c r="H160" s="8" t="n">
        <v>46.658703298161797</v>
      </c>
      <c r="I160" s="14" t="str">
        <f>=HYPERLINK("https://ucloud.univie.ac.at/index.php/f/1525440401","Open Cytogram")</f>
      </c>
      <c r="J160" s="9" t="s">
        <v>314</v>
      </c>
      <c r="K160" s="10" t="s">
        <v>14</v>
      </c>
      <c r="L160" s="10" t="s">
        <v>314</v>
      </c>
      <c r="M160" s="10" t="s">
        <v>28</v>
      </c>
    </row>
    <row r="161">
      <c r="A161" s="2" t="s">
        <v>314</v>
      </c>
      <c r="B161" s="3" t="n">
        <v>46188</v>
      </c>
      <c r="C161" s="3" t="n">
        <v>46168</v>
      </c>
      <c r="D161" s="4" t="n">
        <f t="shared" si="16"/>
        <v>20</v>
      </c>
      <c r="E161" s="5" t="n">
        <v>9115710.3174163308</v>
      </c>
      <c r="F161" s="6" t="n">
        <v>34.8523563428176</v>
      </c>
      <c r="G161" s="7" t="n">
        <v>14542625.6709303</v>
      </c>
      <c r="H161" s="8" t="n">
        <v>55.601237248083599</v>
      </c>
      <c r="I161" s="14" t="str">
        <f>=HYPERLINK("https://ucloud.univie.ac.at/index.php/f/1525440401","Open Cytogram")</f>
      </c>
      <c r="J161" s="9" t="s">
        <v>314</v>
      </c>
      <c r="K161" t="s">
        <v>14</v>
      </c>
      <c r="L161" t="s">
        <v>314</v>
      </c>
      <c r="M161" t="s">
        <v>28</v>
      </c>
    </row>
    <row r="162">
      <c r="A162" s="2" t="s">
        <v>314</v>
      </c>
      <c r="B162" s="3" t="n">
        <v>46196</v>
      </c>
      <c r="C162" s="3" t="n">
        <v>46168</v>
      </c>
      <c r="D162" s="4" t="n">
        <f t="shared" si="16"/>
        <v>28</v>
      </c>
      <c r="E162" s="5" t="n">
        <v>831156.14017155499</v>
      </c>
      <c r="F162" s="6" t="n">
        <v>47.4669100867184</v>
      </c>
      <c r="G162" s="7" t="n">
        <v>325069.96155267302</v>
      </c>
      <c r="H162" s="8" t="n">
        <v>18.564582382473802</v>
      </c>
      <c r="I162" s="14" t="str">
        <f>=HYPERLINK("https://ucloud.univie.ac.at/index.php/f/1547933978","Open Cytogram")</f>
      </c>
      <c r="J162" s="9" t="s">
        <v>314</v>
      </c>
      <c r="K162" s="10" t="s">
        <v>14</v>
      </c>
      <c r="L162" s="10" t="s">
        <v>314</v>
      </c>
      <c r="M162" s="10" t="s">
        <v>36</v>
      </c>
    </row>
    <row r="163">
      <c r="A163" s="17" t="s">
        <v>314</v>
      </c>
      <c r="B163" s="18" t="n">
        <v>46204</v>
      </c>
      <c r="C163" s="18" t="n">
        <v>46168</v>
      </c>
      <c r="D163" s="19" t="n">
        <f t="shared" si="16"/>
        <v>36</v>
      </c>
      <c r="E163" s="20" t="n">
        <v>4337635.6378587103</v>
      </c>
      <c r="F163" s="21" t="n">
        <v>36.747118000086402</v>
      </c>
      <c r="G163" s="22" t="n">
        <v>3715352.3440242</v>
      </c>
      <c r="H163" s="23" t="n">
        <v>31.4753248996157</v>
      </c>
      <c r="I163" s="24" t="str">
        <f>=HYPERLINK("https://ucloud.univie.ac.at/index.php/f/1543012007","Open Cytogram")</f>
      </c>
      <c r="J163" s="15" t="s">
        <v>314</v>
      </c>
      <c r="K163" s="25" t="s">
        <v>14</v>
      </c>
      <c r="L163" s="25" t="s">
        <v>314</v>
      </c>
      <c r="M163" s="25" t="s">
        <v>46</v>
      </c>
    </row>
    <row r="164">
      <c r="A164" s="2" t="s">
        <v>100</v>
      </c>
      <c r="B164" s="3" t="n">
        <v>46168</v>
      </c>
      <c r="C164" s="3" t="n">
        <v>46168</v>
      </c>
      <c r="D164" s="4" t="n">
        <f t="shared" si="16"/>
        <v>0</v>
      </c>
      <c r="E164" s="5" t="n">
        <v>4578168.1301482702</v>
      </c>
      <c r="F164" s="6" t="n">
        <v>55.4849597935074</v>
      </c>
      <c r="G164" s="7" t="n">
        <v>2523494.35550965</v>
      </c>
      <c r="H164" s="8" t="n">
        <v>30.5834077898011</v>
      </c>
      <c r="I164" s="14" t="str">
        <f>=HYPERLINK("https://ucloud.univie.ac.at/index.php/f/1515117563","Open Cytogram")</f>
      </c>
      <c r="J164" s="9" t="s">
        <v>314</v>
      </c>
      <c r="K164" s="10" t="s">
        <v>14</v>
      </c>
      <c r="L164" s="10" t="s">
        <v>314</v>
      </c>
      <c r="M164" s="10" t="s">
        <v>96</v>
      </c>
    </row>
    <row r="165">
      <c r="A165" s="2" t="s">
        <v>314</v>
      </c>
      <c r="B165" s="3" t="n">
        <v>46168</v>
      </c>
      <c r="C165" s="3" t="n">
        <v>46168</v>
      </c>
      <c r="D165" s="4" t="n">
        <f t="shared" si="16"/>
        <v>0</v>
      </c>
      <c r="E165" s="5" t="n">
        <v>676034.86378847098</v>
      </c>
      <c r="F165" s="6" t="n">
        <v>42.059973924380699</v>
      </c>
      <c r="G165" s="7" t="n">
        <v>316432.933763357</v>
      </c>
      <c r="H165" s="8" t="n">
        <v>19.687092568448499</v>
      </c>
      <c r="I165" s="14" t="str">
        <f>=HYPERLINK("https://ucloud.univie.ac.at/index.php/f/1515117563","Open Cytogram")</f>
      </c>
      <c r="J165" s="9" t="s">
        <v>314</v>
      </c>
      <c r="K165" t="s">
        <v>14</v>
      </c>
      <c r="L165" t="s">
        <v>314</v>
      </c>
      <c r="M165" t="s">
        <v>96</v>
      </c>
    </row>
    <row r="166">
      <c r="A166" s="2" t="s">
        <v>314</v>
      </c>
      <c r="B166" s="3" t="n">
        <v>46169</v>
      </c>
      <c r="C166" s="3" t="n">
        <v>46168</v>
      </c>
      <c r="D166" s="4" t="n">
        <f t="shared" si="16"/>
        <v>1</v>
      </c>
      <c r="E166" s="5" t="n">
        <v>944898.07837018406</v>
      </c>
      <c r="F166" s="6" t="n">
        <v>30.801284240726801</v>
      </c>
      <c r="G166" s="7" t="n">
        <v>1003993.50043725</v>
      </c>
      <c r="H166" s="8" t="n">
        <v>32.727645330965203</v>
      </c>
      <c r="I166" s="14" t="str">
        <f>=HYPERLINK("https://ucloud.univie.ac.at/index.php/f/1515117563","Open Cytogram")</f>
      </c>
      <c r="J166" s="9" t="s">
        <v>314</v>
      </c>
      <c r="K166" s="10" t="s">
        <v>14</v>
      </c>
      <c r="L166" s="10" t="s">
        <v>314</v>
      </c>
      <c r="M166" s="10" t="s">
        <v>96</v>
      </c>
    </row>
    <row r="167">
      <c r="A167" s="2" t="s">
        <v>314</v>
      </c>
      <c r="B167" s="3" t="n">
        <v>46171</v>
      </c>
      <c r="C167" s="3" t="n">
        <v>46168</v>
      </c>
      <c r="D167" s="4" t="n">
        <f t="shared" si="16"/>
        <v>3</v>
      </c>
      <c r="E167" s="5" t="n">
        <v>3076140.16545896</v>
      </c>
      <c r="F167" s="6" t="n">
        <v>49.752693870340899</v>
      </c>
      <c r="G167" s="7" t="n">
        <v>1790911.0017082701</v>
      </c>
      <c r="H167" s="8" t="n">
        <v>28.965730436318701</v>
      </c>
      <c r="I167" s="14" t="str">
        <f>=HYPERLINK("https://ucloud.univie.ac.at/index.php/f/1515117563","Open Cytogram")</f>
      </c>
      <c r="J167" s="9" t="s">
        <v>314</v>
      </c>
      <c r="K167" t="s">
        <v>14</v>
      </c>
      <c r="L167" t="s">
        <v>314</v>
      </c>
      <c r="M167" t="s">
        <v>96</v>
      </c>
    </row>
    <row r="168">
      <c r="A168" s="2" t="s">
        <v>314</v>
      </c>
      <c r="B168" s="3" t="n">
        <v>46175</v>
      </c>
      <c r="C168" s="3" t="n">
        <v>46168</v>
      </c>
      <c r="D168" s="4" t="n">
        <f t="shared" si="16"/>
        <v>7</v>
      </c>
      <c r="E168" s="5" t="n">
        <v>4169505.8205716498</v>
      </c>
      <c r="F168" s="6" t="n">
        <v>57.315168811588002</v>
      </c>
      <c r="G168" s="7" t="n">
        <v>2250843.7096020998</v>
      </c>
      <c r="H168" s="8" t="n">
        <v>30.940714016477301</v>
      </c>
      <c r="I168" s="14" t="str">
        <f>=HYPERLINK("https://ucloud.univie.ac.at/index.php/f/1515117563","Open Cytogram")</f>
      </c>
      <c r="J168" s="9" t="s">
        <v>314</v>
      </c>
      <c r="K168" s="10" t="s">
        <v>14</v>
      </c>
      <c r="L168" s="10" t="s">
        <v>314</v>
      </c>
      <c r="M168" s="10" t="s">
        <v>96</v>
      </c>
    </row>
    <row r="169">
      <c r="A169" s="2" t="s">
        <v>314</v>
      </c>
      <c r="B169" s="3" t="n">
        <v>46178</v>
      </c>
      <c r="C169" s="3" t="n">
        <v>46168</v>
      </c>
      <c r="D169" s="4" t="n">
        <f t="shared" si="16"/>
        <v>10</v>
      </c>
      <c r="E169" s="5" t="n">
        <v>2394848.2257618299</v>
      </c>
      <c r="F169" s="6" t="n">
        <v>43.695165204405399</v>
      </c>
      <c r="G169" s="7" t="n">
        <v>1511903.0078477201</v>
      </c>
      <c r="H169" s="8" t="n">
        <v>27.585402277394099</v>
      </c>
      <c r="I169" s="14" t="str">
        <f>=HYPERLINK("https://ucloud.univie.ac.at/index.php/f/1525440401","Open Cytogram")</f>
      </c>
      <c r="J169" s="9" t="s">
        <v>314</v>
      </c>
      <c r="K169" t="s">
        <v>14</v>
      </c>
      <c r="L169" t="s">
        <v>314</v>
      </c>
      <c r="M169" t="s">
        <v>28</v>
      </c>
    </row>
    <row r="170">
      <c r="A170" s="2" t="s">
        <v>314</v>
      </c>
      <c r="B170" s="3" t="n">
        <v>46182</v>
      </c>
      <c r="C170" s="3" t="n">
        <v>46168</v>
      </c>
      <c r="D170" s="4" t="n">
        <f t="shared" si="16"/>
        <v>14</v>
      </c>
      <c r="E170" s="5" t="n">
        <v>1759581.2480735199</v>
      </c>
      <c r="F170" s="6" t="n">
        <v>39.297002932327999</v>
      </c>
      <c r="G170" s="7" t="n">
        <v>1303444.0411157999</v>
      </c>
      <c r="H170" s="8" t="n">
        <v>29.110019421912501</v>
      </c>
      <c r="I170" s="14" t="str">
        <f>=HYPERLINK("https://ucloud.univie.ac.at/index.php/f/1525440401","Open Cytogram")</f>
      </c>
      <c r="J170" s="9" t="s">
        <v>314</v>
      </c>
      <c r="K170" s="10" t="s">
        <v>14</v>
      </c>
      <c r="L170" s="10" t="s">
        <v>314</v>
      </c>
      <c r="M170" s="10" t="s">
        <v>28</v>
      </c>
    </row>
    <row r="171">
      <c r="A171" s="2" t="s">
        <v>314</v>
      </c>
      <c r="B171" s="3" t="n">
        <v>46188</v>
      </c>
      <c r="C171" s="3" t="n">
        <v>46168</v>
      </c>
      <c r="D171" s="4" t="n">
        <f t="shared" si="16"/>
        <v>20</v>
      </c>
      <c r="E171" s="5" t="n">
        <v>1894401.41427709</v>
      </c>
      <c r="F171" s="6" t="n">
        <v>37.407125970955803</v>
      </c>
      <c r="G171" s="7" t="n">
        <v>1787505.95020548</v>
      </c>
      <c r="H171" s="8" t="n">
        <v>35.296352583586597</v>
      </c>
      <c r="I171" s="14" t="str">
        <f>=HYPERLINK("https://ucloud.univie.ac.at/index.php/f/1525440401","Open Cytogram")</f>
      </c>
      <c r="J171" s="9" t="s">
        <v>314</v>
      </c>
      <c r="K171" t="s">
        <v>14</v>
      </c>
      <c r="L171" t="s">
        <v>314</v>
      </c>
      <c r="M171" t="s">
        <v>28</v>
      </c>
    </row>
    <row r="172">
      <c r="A172" s="2" t="s">
        <v>314</v>
      </c>
      <c r="B172" s="3" t="n">
        <v>46196</v>
      </c>
      <c r="C172" s="3" t="n">
        <v>46168</v>
      </c>
      <c r="D172" s="4" t="n">
        <f t="shared" si="16"/>
        <v>28</v>
      </c>
      <c r="E172" s="5" t="n">
        <v>2593076.4830411999</v>
      </c>
      <c r="F172" s="6" t="n">
        <v>43.272398190045301</v>
      </c>
      <c r="G172" s="7" t="n">
        <v>2319755.72274072</v>
      </c>
      <c r="H172" s="8" t="n">
        <v>38.711312217194603</v>
      </c>
      <c r="I172" s="14" t="str">
        <f>=HYPERLINK("https://ucloud.univie.ac.at/index.php/f/1547933978","Open Cytogram")</f>
      </c>
      <c r="J172" s="9" t="s">
        <v>314</v>
      </c>
      <c r="K172" s="10" t="s">
        <v>14</v>
      </c>
      <c r="L172" s="10" t="s">
        <v>314</v>
      </c>
      <c r="M172" s="10" t="s">
        <v>36</v>
      </c>
    </row>
    <row r="173">
      <c r="A173" s="2" t="s">
        <v>314</v>
      </c>
      <c r="B173" s="3" t="n">
        <v>46204</v>
      </c>
      <c r="C173" s="3" t="n">
        <v>46168</v>
      </c>
      <c r="D173" s="4" t="n">
        <f t="shared" si="16"/>
        <v>36</v>
      </c>
      <c r="E173" s="5" t="n">
        <v>681097.25838004902</v>
      </c>
      <c r="F173" s="6" t="n">
        <v>27.386719863208899</v>
      </c>
      <c r="G173" s="7" t="n">
        <v>524871.14426076598</v>
      </c>
      <c r="H173" s="8" t="n">
        <v>21.1049138948826</v>
      </c>
      <c r="I173" s="14" t="str">
        <f>=HYPERLINK("https://ucloud.univie.ac.at/index.php/f/1543012007","Open Cytogram")</f>
      </c>
      <c r="J173" s="9" t="s">
        <v>314</v>
      </c>
      <c r="K173" t="s">
        <v>14</v>
      </c>
      <c r="L173" t="s">
        <v>314</v>
      </c>
      <c r="M173" t="s">
        <v>46</v>
      </c>
    </row>
    <row r="174">
      <c r="A174" s="17" t="s">
        <v>314</v>
      </c>
      <c r="B174" s="18" t="n">
        <v>46213</v>
      </c>
      <c r="C174" s="18" t="n">
        <v>46168</v>
      </c>
      <c r="D174" s="19" t="n">
        <f t="shared" si="16"/>
        <v>45</v>
      </c>
      <c r="E174" s="20" t="n">
        <v>2810466.0590327401</v>
      </c>
      <c r="F174" s="21" t="n">
        <v>44.315630298309102</v>
      </c>
      <c r="G174" s="22" t="n">
        <v>2446044.1338929399</v>
      </c>
      <c r="H174" s="23" t="n">
        <v>38.569399257663903</v>
      </c>
      <c r="I174" s="24" t="str">
        <f>=HYPERLINK("https://ucloud.univie.ac.at/index.php/f/1552579218","Open Cytogram")</f>
      </c>
      <c r="J174" s="15" t="s">
        <v>314</v>
      </c>
      <c r="K174" s="16" t="s">
        <v>14</v>
      </c>
      <c r="L174" s="16" t="s">
        <v>314</v>
      </c>
      <c r="M174" s="16" t="s">
        <v>37</v>
      </c>
    </row>
    <row r="175">
      <c r="A175" s="2" t="s">
        <v>101</v>
      </c>
      <c r="B175" s="3" t="n">
        <v>46168</v>
      </c>
      <c r="C175" s="3" t="n">
        <v>46168</v>
      </c>
      <c r="D175" s="4" t="n">
        <f t="shared" si="16"/>
        <v>0</v>
      </c>
      <c r="E175" s="5" t="n">
        <v>3101708.8906757399</v>
      </c>
      <c r="F175" s="6" t="n">
        <v>55.6465745608673</v>
      </c>
      <c r="G175" s="7" t="n">
        <v>633108.44282359001</v>
      </c>
      <c r="H175" s="8" t="n">
        <v>11.358356767330999</v>
      </c>
      <c r="I175" s="14" t="str">
        <f>=HYPERLINK("https://ucloud.univie.ac.at/index.php/f/1515117563","Open Cytogram")</f>
      </c>
      <c r="J175" s="9" t="s">
        <v>314</v>
      </c>
      <c r="K175" t="s">
        <v>14</v>
      </c>
      <c r="L175" t="s">
        <v>314</v>
      </c>
      <c r="M175" t="s">
        <v>96</v>
      </c>
    </row>
    <row r="176">
      <c r="A176" s="2" t="s">
        <v>314</v>
      </c>
      <c r="B176" s="3" t="n">
        <v>46168</v>
      </c>
      <c r="C176" s="3" t="n">
        <v>46168</v>
      </c>
      <c r="D176" s="4" t="n">
        <f t="shared" si="16"/>
        <v>0</v>
      </c>
      <c r="E176" s="5" t="n">
        <v>1965656.23754986</v>
      </c>
      <c r="F176" s="6" t="n">
        <v>40.183352611061103</v>
      </c>
      <c r="G176" s="7" t="n">
        <v>1820851.49766213</v>
      </c>
      <c r="H176" s="8" t="n">
        <v>37.223150409116201</v>
      </c>
      <c r="I176" s="14" t="str">
        <f>=HYPERLINK("https://ucloud.univie.ac.at/index.php/f/1515117563","Open Cytogram")</f>
      </c>
      <c r="J176" s="9" t="s">
        <v>314</v>
      </c>
      <c r="K176" s="10" t="s">
        <v>14</v>
      </c>
      <c r="L176" s="10" t="s">
        <v>314</v>
      </c>
      <c r="M176" s="10" t="s">
        <v>96</v>
      </c>
    </row>
    <row r="177">
      <c r="A177" s="2" t="s">
        <v>314</v>
      </c>
      <c r="B177" s="3" t="n">
        <v>46169</v>
      </c>
      <c r="C177" s="3" t="n">
        <v>46168</v>
      </c>
      <c r="D177" s="4" t="n">
        <f t="shared" si="16"/>
        <v>1</v>
      </c>
      <c r="E177" s="5" t="n">
        <v>729681.771764245</v>
      </c>
      <c r="F177" s="6" t="n">
        <v>31.363718248964201</v>
      </c>
      <c r="G177" s="7" t="n">
        <v>775994.14154020697</v>
      </c>
      <c r="H177" s="8" t="n">
        <v>33.354350567465303</v>
      </c>
      <c r="I177" s="14" t="str">
        <f>=HYPERLINK("https://ucloud.univie.ac.at/index.php/f/1515117563","Open Cytogram")</f>
      </c>
      <c r="J177" s="9" t="s">
        <v>314</v>
      </c>
      <c r="K177" t="s">
        <v>14</v>
      </c>
      <c r="L177" t="s">
        <v>314</v>
      </c>
      <c r="M177" t="s">
        <v>96</v>
      </c>
    </row>
    <row r="178">
      <c r="A178" s="2" t="s">
        <v>314</v>
      </c>
      <c r="B178" s="3" t="n">
        <v>46171</v>
      </c>
      <c r="C178" s="3" t="n">
        <v>46168</v>
      </c>
      <c r="D178" s="4" t="n">
        <f t="shared" si="16"/>
        <v>3</v>
      </c>
      <c r="E178" s="5" t="n">
        <v>4431177.1742114397</v>
      </c>
      <c r="F178" s="6" t="n">
        <v>51.591717595548701</v>
      </c>
      <c r="G178" s="7" t="n">
        <v>2792597.4252964398</v>
      </c>
      <c r="H178" s="8" t="n">
        <v>32.513910425978302</v>
      </c>
      <c r="I178" s="14" t="str">
        <f>=HYPERLINK("https://ucloud.univie.ac.at/index.php/f/1515117563","Open Cytogram")</f>
      </c>
      <c r="J178" s="9" t="s">
        <v>314</v>
      </c>
      <c r="K178" s="10" t="s">
        <v>14</v>
      </c>
      <c r="L178" s="10" t="s">
        <v>314</v>
      </c>
      <c r="M178" s="10" t="s">
        <v>96</v>
      </c>
    </row>
    <row r="179">
      <c r="A179" s="2" t="s">
        <v>314</v>
      </c>
      <c r="B179" s="3" t="n">
        <v>46175</v>
      </c>
      <c r="C179" s="3" t="n">
        <v>46168</v>
      </c>
      <c r="D179" s="4" t="n">
        <f t="shared" si="16"/>
        <v>7</v>
      </c>
      <c r="E179" s="5" t="n">
        <v>3814995.9776914101</v>
      </c>
      <c r="F179" s="6" t="n">
        <v>60.652674845861597</v>
      </c>
      <c r="G179" s="7" t="n">
        <v>1295821.6135335399</v>
      </c>
      <c r="H179" s="8" t="n">
        <v>20.601606775861001</v>
      </c>
      <c r="I179" s="14" t="str">
        <f>=HYPERLINK("https://ucloud.univie.ac.at/index.php/f/1515117563","Open Cytogram")</f>
      </c>
      <c r="J179" s="9" t="s">
        <v>314</v>
      </c>
      <c r="K179" t="s">
        <v>14</v>
      </c>
      <c r="L179" t="s">
        <v>314</v>
      </c>
      <c r="M179" t="s">
        <v>96</v>
      </c>
    </row>
    <row r="180">
      <c r="A180" s="2" t="s">
        <v>314</v>
      </c>
      <c r="B180" s="3" t="n">
        <v>46178</v>
      </c>
      <c r="C180" s="3" t="n">
        <v>46168</v>
      </c>
      <c r="D180" s="4" t="n">
        <f t="shared" si="16"/>
        <v>10</v>
      </c>
      <c r="E180" s="5" t="n">
        <v>3878615.6675694101</v>
      </c>
      <c r="F180" s="6" t="n">
        <v>52.215832788127102</v>
      </c>
      <c r="G180" s="7" t="n">
        <v>1481721.2188228399</v>
      </c>
      <c r="H180" s="8" t="n">
        <v>19.947660204538401</v>
      </c>
      <c r="I180" s="14" t="str">
        <f>=HYPERLINK("https://ucloud.univie.ac.at/index.php/f/1525440401","Open Cytogram")</f>
      </c>
      <c r="J180" s="9" t="s">
        <v>314</v>
      </c>
      <c r="K180" s="10" t="s">
        <v>14</v>
      </c>
      <c r="L180" s="10" t="s">
        <v>314</v>
      </c>
      <c r="M180" s="10" t="s">
        <v>28</v>
      </c>
    </row>
    <row r="181">
      <c r="A181" s="2" t="s">
        <v>314</v>
      </c>
      <c r="B181" s="3" t="n">
        <v>46182</v>
      </c>
      <c r="C181" s="3" t="n">
        <v>46168</v>
      </c>
      <c r="D181" s="4" t="n">
        <f t="shared" si="16"/>
        <v>14</v>
      </c>
      <c r="E181" s="5" t="n">
        <v>1511306.19262289</v>
      </c>
      <c r="F181" s="6" t="n">
        <v>36.488266776451198</v>
      </c>
      <c r="G181" s="7" t="n">
        <v>776371.10402933799</v>
      </c>
      <c r="H181" s="8" t="n">
        <v>18.744339234252799</v>
      </c>
      <c r="I181" s="14" t="str">
        <f>=HYPERLINK("https://ucloud.univie.ac.at/index.php/f/1525440401","Open Cytogram")</f>
      </c>
      <c r="J181" s="9" t="s">
        <v>314</v>
      </c>
      <c r="K181" t="s">
        <v>14</v>
      </c>
      <c r="L181" t="s">
        <v>314</v>
      </c>
      <c r="M181" t="s">
        <v>28</v>
      </c>
    </row>
    <row r="182">
      <c r="A182" s="2" t="s">
        <v>314</v>
      </c>
      <c r="B182" s="3" t="n">
        <v>46188</v>
      </c>
      <c r="C182" s="3" t="n">
        <v>46168</v>
      </c>
      <c r="D182" s="4" t="n">
        <f t="shared" si="16"/>
        <v>20</v>
      </c>
      <c r="E182" s="5" t="n">
        <v>3731934.4416680802</v>
      </c>
      <c r="F182" s="6" t="n">
        <v>44.8509763617677</v>
      </c>
      <c r="G182" s="7" t="n">
        <v>2588366.7670299802</v>
      </c>
      <c r="H182" s="8" t="n">
        <v>31.107399794450199</v>
      </c>
      <c r="I182" s="14" t="str">
        <f>=HYPERLINK("https://ucloud.univie.ac.at/index.php/f/1525440401","Open Cytogram")</f>
      </c>
      <c r="J182" s="9" t="s">
        <v>314</v>
      </c>
      <c r="K182" s="10" t="s">
        <v>14</v>
      </c>
      <c r="L182" s="10" t="s">
        <v>314</v>
      </c>
      <c r="M182" s="10" t="s">
        <v>28</v>
      </c>
    </row>
    <row r="183">
      <c r="A183" s="2" t="s">
        <v>314</v>
      </c>
      <c r="B183" s="3" t="n">
        <v>46196</v>
      </c>
      <c r="C183" s="3" t="n">
        <v>46168</v>
      </c>
      <c r="D183" s="4" t="n">
        <f t="shared" si="16"/>
        <v>28</v>
      </c>
      <c r="E183" s="5" t="n">
        <v>1283696.68283708</v>
      </c>
      <c r="F183" s="6" t="n">
        <v>50.435669989795102</v>
      </c>
      <c r="G183" s="7" t="n">
        <v>574816.39790229895</v>
      </c>
      <c r="H183" s="8" t="n">
        <v>22.5841902818118</v>
      </c>
      <c r="I183" s="14" t="str">
        <f>=HYPERLINK("https://ucloud.univie.ac.at/index.php/f/1547933978","Open Cytogram")</f>
      </c>
      <c r="J183" s="9" t="s">
        <v>314</v>
      </c>
      <c r="K183" t="s">
        <v>14</v>
      </c>
      <c r="L183" t="s">
        <v>314</v>
      </c>
      <c r="M183" t="s">
        <v>36</v>
      </c>
    </row>
    <row r="184">
      <c r="A184" s="2" t="s">
        <v>314</v>
      </c>
      <c r="B184" s="3" t="n">
        <v>46204</v>
      </c>
      <c r="C184" s="3" t="n">
        <v>46168</v>
      </c>
      <c r="D184" s="4" t="n">
        <f t="shared" si="16"/>
        <v>36</v>
      </c>
      <c r="E184" s="5" t="n">
        <v>1908732.79544829</v>
      </c>
      <c r="F184" s="6" t="n">
        <v>24.217043907201401</v>
      </c>
      <c r="G184" s="7" t="n">
        <v>2443728.7688807598</v>
      </c>
      <c r="H184" s="8" t="n">
        <v>31.0048043573209</v>
      </c>
      <c r="I184" s="14" t="str">
        <f>=HYPERLINK("https://ucloud.univie.ac.at/index.php/f/1543012007","Open Cytogram")</f>
      </c>
      <c r="J184" s="9" t="s">
        <v>314</v>
      </c>
      <c r="K184" s="10" t="s">
        <v>14</v>
      </c>
      <c r="L184" s="10" t="s">
        <v>314</v>
      </c>
      <c r="M184" s="10" t="s">
        <v>46</v>
      </c>
    </row>
    <row r="185">
      <c r="A185" s="17" t="s">
        <v>314</v>
      </c>
      <c r="B185" s="18" t="n">
        <v>46213</v>
      </c>
      <c r="C185" s="18" t="n">
        <v>46168</v>
      </c>
      <c r="D185" s="19" t="n">
        <f t="shared" si="16"/>
        <v>45</v>
      </c>
      <c r="E185" s="20" t="n">
        <v>3800135.9086452201</v>
      </c>
      <c r="F185" s="21" t="n">
        <v>43.4321954859168</v>
      </c>
      <c r="G185" s="22" t="n">
        <v>3771411.2943211501</v>
      </c>
      <c r="H185" s="23" t="n">
        <v>43.103898526394303</v>
      </c>
      <c r="I185" s="24" t="str">
        <f>=HYPERLINK("https://ucloud.univie.ac.at/index.php/f/1552579218","Open Cytogram")</f>
      </c>
      <c r="J185" s="15" t="s">
        <v>314</v>
      </c>
      <c r="K185" s="25" t="s">
        <v>14</v>
      </c>
      <c r="L185" s="25" t="s">
        <v>314</v>
      </c>
      <c r="M185" s="25" t="s">
        <v>37</v>
      </c>
    </row>
    <row r="186">
      <c r="A186" s="2" t="s">
        <v>102</v>
      </c>
      <c r="B186" s="3" t="n">
        <v>46168</v>
      </c>
      <c r="C186" s="3" t="n">
        <v>46168</v>
      </c>
      <c r="D186" s="4" t="n">
        <f t="shared" si="16"/>
        <v>0</v>
      </c>
      <c r="E186" s="5" t="n">
        <v>1392671.9866025001</v>
      </c>
      <c r="F186" s="6" t="n">
        <v>45.601507487850803</v>
      </c>
      <c r="G186" s="7" t="n">
        <v>1102506.74885453</v>
      </c>
      <c r="H186" s="8" t="n">
        <v>36.100366954279501</v>
      </c>
      <c r="I186" s="14" t="str">
        <f>=HYPERLINK("https://ucloud.univie.ac.at/index.php/f/1515117563","Open Cytogram")</f>
      </c>
      <c r="J186" s="9" t="s">
        <v>314</v>
      </c>
      <c r="K186" s="10" t="s">
        <v>14</v>
      </c>
      <c r="L186" s="10" t="s">
        <v>314</v>
      </c>
      <c r="M186" s="10" t="s">
        <v>96</v>
      </c>
    </row>
    <row r="187">
      <c r="A187" s="2" t="s">
        <v>314</v>
      </c>
      <c r="B187" s="3" t="n">
        <v>46168</v>
      </c>
      <c r="C187" s="3" t="n">
        <v>46168</v>
      </c>
      <c r="D187" s="4" t="n">
        <f t="shared" si="16"/>
        <v>0</v>
      </c>
      <c r="E187" s="5" t="n">
        <v>1040247.07496775</v>
      </c>
      <c r="F187" s="6" t="n">
        <v>34.556213017751503</v>
      </c>
      <c r="G187" s="7" t="n">
        <v>904453.33915407304</v>
      </c>
      <c r="H187" s="8" t="n">
        <v>30.045248868778302</v>
      </c>
      <c r="I187" s="14" t="str">
        <f>=HYPERLINK("https://ucloud.univie.ac.at/index.php/f/1515117563","Open Cytogram")</f>
      </c>
      <c r="J187" s="9" t="s">
        <v>314</v>
      </c>
      <c r="K187" t="s">
        <v>14</v>
      </c>
      <c r="L187" t="s">
        <v>314</v>
      </c>
      <c r="M187" t="s">
        <v>96</v>
      </c>
    </row>
    <row r="188">
      <c r="A188" s="2" t="s">
        <v>314</v>
      </c>
      <c r="B188" s="3" t="n">
        <v>46169</v>
      </c>
      <c r="C188" s="3" t="n">
        <v>46168</v>
      </c>
      <c r="D188" s="4" t="n">
        <f t="shared" si="16"/>
        <v>1</v>
      </c>
      <c r="E188" s="5" t="n">
        <v>632446.75086518005</v>
      </c>
      <c r="F188" s="6" t="n">
        <v>37.280737873672102</v>
      </c>
      <c r="G188" s="7" t="n">
        <v>495255.96019815799</v>
      </c>
      <c r="H188" s="8" t="n">
        <v>29.193774190891901</v>
      </c>
      <c r="I188" s="14" t="str">
        <f>=HYPERLINK("https://ucloud.univie.ac.at/index.php/f/1515117563","Open Cytogram")</f>
      </c>
      <c r="J188" s="9" t="s">
        <v>314</v>
      </c>
      <c r="K188" s="10" t="s">
        <v>14</v>
      </c>
      <c r="L188" s="10" t="s">
        <v>314</v>
      </c>
      <c r="M188" s="10" t="s">
        <v>96</v>
      </c>
    </row>
    <row r="189">
      <c r="A189" s="2" t="s">
        <v>314</v>
      </c>
      <c r="B189" s="3" t="n">
        <v>46171</v>
      </c>
      <c r="C189" s="3" t="n">
        <v>46168</v>
      </c>
      <c r="D189" s="4" t="n">
        <f t="shared" si="16"/>
        <v>3</v>
      </c>
      <c r="E189" s="5" t="n">
        <v>993725.14695751003</v>
      </c>
      <c r="F189" s="6" t="n">
        <v>52.823883257212898</v>
      </c>
      <c r="G189" s="7" t="n">
        <v>301763.85736373102</v>
      </c>
      <c r="H189" s="8" t="n">
        <v>16.040993650440001</v>
      </c>
      <c r="I189" s="14" t="str">
        <f>=HYPERLINK("https://ucloud.univie.ac.at/index.php/f/1515117563","Open Cytogram")</f>
      </c>
      <c r="J189" s="9" t="s">
        <v>314</v>
      </c>
      <c r="K189" t="s">
        <v>14</v>
      </c>
      <c r="L189" t="s">
        <v>314</v>
      </c>
      <c r="M189" t="s">
        <v>96</v>
      </c>
    </row>
    <row r="190">
      <c r="A190" s="2" t="s">
        <v>314</v>
      </c>
      <c r="B190" s="3" t="n">
        <v>46175</v>
      </c>
      <c r="C190" s="3" t="n">
        <v>46168</v>
      </c>
      <c r="D190" s="4" t="n">
        <f t="shared" si="16"/>
        <v>7</v>
      </c>
      <c r="E190" s="5" t="n">
        <v>3402511.0444837799</v>
      </c>
      <c r="F190" s="6" t="n">
        <v>54.985123757675503</v>
      </c>
      <c r="G190" s="7" t="n">
        <v>1071755.7238898999</v>
      </c>
      <c r="H190" s="8" t="n">
        <v>17.319744255238302</v>
      </c>
      <c r="I190" s="14" t="str">
        <f>=HYPERLINK("https://ucloud.univie.ac.at/index.php/f/1515117563","Open Cytogram")</f>
      </c>
      <c r="J190" s="9" t="s">
        <v>314</v>
      </c>
      <c r="K190" s="10" t="s">
        <v>14</v>
      </c>
      <c r="L190" s="10" t="s">
        <v>314</v>
      </c>
      <c r="M190" s="10" t="s">
        <v>96</v>
      </c>
    </row>
    <row r="191">
      <c r="A191" s="2" t="s">
        <v>314</v>
      </c>
      <c r="B191" s="3" t="n">
        <v>46178</v>
      </c>
      <c r="C191" s="3" t="n">
        <v>46168</v>
      </c>
      <c r="D191" s="4" t="n">
        <f t="shared" si="16"/>
        <v>10</v>
      </c>
      <c r="E191" s="5" t="n">
        <v>3417448.4244312001</v>
      </c>
      <c r="F191" s="6" t="n">
        <v>44.181548843716598</v>
      </c>
      <c r="G191" s="7" t="n">
        <v>1298293.0169744701</v>
      </c>
      <c r="H191" s="8" t="n">
        <v>16.784626779688899</v>
      </c>
      <c r="I191" s="14" t="str">
        <f>=HYPERLINK("https://ucloud.univie.ac.at/index.php/f/1525440401","Open Cytogram")</f>
      </c>
      <c r="J191" s="9" t="s">
        <v>314</v>
      </c>
      <c r="K191" t="s">
        <v>14</v>
      </c>
      <c r="L191" t="s">
        <v>314</v>
      </c>
      <c r="M191" t="s">
        <v>28</v>
      </c>
    </row>
    <row r="192">
      <c r="A192" s="2" t="s">
        <v>314</v>
      </c>
      <c r="B192" s="3" t="n">
        <v>46182</v>
      </c>
      <c r="C192" s="3" t="n">
        <v>46168</v>
      </c>
      <c r="D192" s="4" t="n">
        <f t="shared" si="16"/>
        <v>14</v>
      </c>
      <c r="E192" s="5" t="n">
        <v>2418260.3639367302</v>
      </c>
      <c r="F192" s="6" t="n">
        <v>32.111446363227799</v>
      </c>
      <c r="G192" s="7" t="n">
        <v>1594930.2160390399</v>
      </c>
      <c r="H192" s="8" t="n">
        <v>21.1786608461193</v>
      </c>
      <c r="I192" s="14" t="str">
        <f>=HYPERLINK("https://ucloud.univie.ac.at/index.php/f/1525440401","Open Cytogram")</f>
      </c>
      <c r="J192" s="9" t="s">
        <v>314</v>
      </c>
      <c r="K192" s="10" t="s">
        <v>14</v>
      </c>
      <c r="L192" s="10" t="s">
        <v>314</v>
      </c>
      <c r="M192" s="10" t="s">
        <v>28</v>
      </c>
    </row>
    <row r="193">
      <c r="A193" s="2" t="s">
        <v>314</v>
      </c>
      <c r="B193" s="3" t="n">
        <v>46188</v>
      </c>
      <c r="C193" s="3" t="n">
        <v>46168</v>
      </c>
      <c r="D193" s="4" t="n">
        <f t="shared" si="16"/>
        <v>20</v>
      </c>
      <c r="E193" s="5" t="n">
        <v>2730781.97603971</v>
      </c>
      <c r="F193" s="6" t="n">
        <v>33.982775660031102</v>
      </c>
      <c r="G193" s="7" t="n">
        <v>2777297.1654944802</v>
      </c>
      <c r="H193" s="8" t="n">
        <v>34.561626429478999</v>
      </c>
      <c r="I193" s="14" t="str">
        <f>=HYPERLINK("https://ucloud.univie.ac.at/index.php/f/1525440401","Open Cytogram")</f>
      </c>
      <c r="J193" s="9" t="s">
        <v>314</v>
      </c>
      <c r="K193" t="s">
        <v>14</v>
      </c>
      <c r="L193" t="s">
        <v>314</v>
      </c>
      <c r="M193" t="s">
        <v>28</v>
      </c>
    </row>
    <row r="194">
      <c r="A194" s="2" t="s">
        <v>314</v>
      </c>
      <c r="B194" s="3" t="n">
        <v>46196</v>
      </c>
      <c r="C194" s="3" t="n">
        <v>46168</v>
      </c>
      <c r="D194" s="4" t="n">
        <f t="shared" ref="D194:D257" si="29">IF(OR(C194="",B194=""),"",B194-C194)</f>
        <v>28</v>
      </c>
      <c r="E194" s="5" t="n">
        <v>2135232.1322147599</v>
      </c>
      <c r="F194" s="6" t="n">
        <v>43.643565973782003</v>
      </c>
      <c r="G194" s="7" t="n">
        <v>1367012.09400331</v>
      </c>
      <c r="H194" s="8" t="n">
        <v>27.941356638216199</v>
      </c>
      <c r="I194" s="14" t="str">
        <f>=HYPERLINK("https://ucloud.univie.ac.at/index.php/f/1547933978","Open Cytogram")</f>
      </c>
      <c r="J194" s="9" t="s">
        <v>314</v>
      </c>
      <c r="K194" s="10" t="s">
        <v>14</v>
      </c>
      <c r="L194" s="10" t="s">
        <v>314</v>
      </c>
      <c r="M194" s="10" t="s">
        <v>36</v>
      </c>
    </row>
    <row r="195">
      <c r="A195" s="2" t="s">
        <v>314</v>
      </c>
      <c r="B195" s="3" t="n">
        <v>46204</v>
      </c>
      <c r="C195" s="3" t="n">
        <v>46168</v>
      </c>
      <c r="D195" s="4" t="n">
        <f t="shared" si="29"/>
        <v>36</v>
      </c>
      <c r="E195" s="5" t="n">
        <v>5264975.6327388203</v>
      </c>
      <c r="F195" s="6" t="n">
        <v>34.306903277070099</v>
      </c>
      <c r="G195" s="7" t="n">
        <v>4136080.3100256599</v>
      </c>
      <c r="H195" s="8" t="n">
        <v>26.9509523006911</v>
      </c>
      <c r="I195" s="14" t="str">
        <f>=HYPERLINK("https://ucloud.univie.ac.at/index.php/f/1543012007","Open Cytogram")</f>
      </c>
      <c r="J195" s="9" t="s">
        <v>314</v>
      </c>
      <c r="K195" t="s">
        <v>14</v>
      </c>
      <c r="L195" t="s">
        <v>314</v>
      </c>
      <c r="M195" t="s">
        <v>46</v>
      </c>
    </row>
    <row r="196">
      <c r="A196" s="17" t="s">
        <v>314</v>
      </c>
      <c r="B196" s="18" t="n">
        <v>46213</v>
      </c>
      <c r="C196" s="18" t="n">
        <v>46168</v>
      </c>
      <c r="D196" s="19" t="n">
        <f t="shared" si="29"/>
        <v>45</v>
      </c>
      <c r="E196" s="20" t="n">
        <v>3268754.2376176501</v>
      </c>
      <c r="F196" s="21" t="n">
        <v>54.058730235017102</v>
      </c>
      <c r="G196" s="22" t="n">
        <v>1452456.76383473</v>
      </c>
      <c r="H196" s="23" t="n">
        <v>24.020762243475801</v>
      </c>
      <c r="I196" s="24" t="str">
        <f>=HYPERLINK("https://ucloud.univie.ac.at/index.php/f/1552579218","Open Cytogram")</f>
      </c>
      <c r="J196" s="15" t="s">
        <v>314</v>
      </c>
      <c r="K196" s="16" t="s">
        <v>14</v>
      </c>
      <c r="L196" s="16" t="s">
        <v>314</v>
      </c>
      <c r="M196" s="16" t="s">
        <v>37</v>
      </c>
    </row>
    <row r="197">
      <c r="A197" s="2" t="s">
        <v>103</v>
      </c>
      <c r="B197" s="3" t="n">
        <v>46184</v>
      </c>
      <c r="C197" s="3" t="n">
        <v>46184</v>
      </c>
      <c r="D197" s="4" t="n">
        <f t="shared" si="29"/>
        <v>0</v>
      </c>
      <c r="E197" s="5" t="n">
        <v>1106286.06346624</v>
      </c>
      <c r="F197" s="6" t="n">
        <v>31.352420769718901</v>
      </c>
      <c r="G197" s="7" t="n">
        <v>2066235.2039046099</v>
      </c>
      <c r="H197" s="8" t="n">
        <v>58.557616932323</v>
      </c>
      <c r="I197" s="14" t="str">
        <f>=HYPERLINK("https://ucloud.univie.ac.at/index.php/f/1525440401","Open Cytogram")</f>
      </c>
      <c r="J197" s="9" t="s">
        <v>314</v>
      </c>
      <c r="K197" t="s">
        <v>14</v>
      </c>
      <c r="L197" t="s">
        <v>314</v>
      </c>
      <c r="M197" t="s">
        <v>28</v>
      </c>
    </row>
    <row r="198">
      <c r="A198" s="2" t="s">
        <v>314</v>
      </c>
      <c r="B198" s="3" t="n">
        <v>46191</v>
      </c>
      <c r="C198" s="3" t="n">
        <v>46184</v>
      </c>
      <c r="D198" s="4" t="n">
        <f t="shared" si="29"/>
        <v>7</v>
      </c>
      <c r="E198" s="5" t="n">
        <v>6168659.2771978797</v>
      </c>
      <c r="F198" s="6" t="n">
        <v>25.117999999999999</v>
      </c>
      <c r="G198" s="7" t="n">
        <v>15110489.2112203</v>
      </c>
      <c r="H198" s="8" t="n">
        <v>61.527999999999999</v>
      </c>
      <c r="I198" s="14" t="str">
        <f>=HYPERLINK("https://ucloud.univie.ac.at/index.php/f/1527059776","Open Cytogram")</f>
      </c>
      <c r="J198" s="9" t="s">
        <v>314</v>
      </c>
      <c r="K198" s="10" t="s">
        <v>14</v>
      </c>
      <c r="L198" s="10" t="s">
        <v>314</v>
      </c>
      <c r="M198" s="10" t="s">
        <v>34</v>
      </c>
    </row>
    <row r="199">
      <c r="A199" s="2" t="s">
        <v>314</v>
      </c>
      <c r="B199" s="3" t="n">
        <v>46196</v>
      </c>
      <c r="C199" s="3" t="n">
        <v>46184</v>
      </c>
      <c r="D199" s="4" t="n">
        <f t="shared" si="29"/>
        <v>12</v>
      </c>
      <c r="E199" s="5" t="n">
        <v>6493988.6058981204</v>
      </c>
      <c r="F199" s="6" t="n">
        <v>27.214329118319402</v>
      </c>
      <c r="G199" s="7" t="n">
        <v>16528081.367292199</v>
      </c>
      <c r="H199" s="8" t="n">
        <v>69.2641569489858</v>
      </c>
      <c r="I199" s="14" t="str">
        <f>=HYPERLINK("https://ucloud.univie.ac.at/index.php/f/1556102548","Open Cytogram")</f>
      </c>
      <c r="J199" s="9" t="s">
        <v>314</v>
      </c>
      <c r="K199" t="s">
        <v>14</v>
      </c>
      <c r="L199" t="s">
        <v>314</v>
      </c>
      <c r="M199" t="s">
        <v>72</v>
      </c>
    </row>
    <row r="200">
      <c r="A200" s="2" t="s">
        <v>314</v>
      </c>
      <c r="B200" s="3" t="n">
        <v>46197</v>
      </c>
      <c r="C200" s="3" t="n">
        <v>46184</v>
      </c>
      <c r="D200" s="4" t="n">
        <f t="shared" si="29"/>
        <v>13</v>
      </c>
      <c r="E200" s="5" t="n">
        <v>5316715.8176943697</v>
      </c>
      <c r="F200" s="6" t="n">
        <v>20.5530642750374</v>
      </c>
      <c r="G200" s="7" t="n">
        <v>19515799.463807002</v>
      </c>
      <c r="H200" s="8" t="n">
        <v>75.4430920350203</v>
      </c>
      <c r="I200" s="14" t="str">
        <f>=HYPERLINK("https://ucloud.univie.ac.at/index.php/f/1556102548","Open Cytogram")</f>
      </c>
      <c r="J200" s="9" t="s">
        <v>314</v>
      </c>
      <c r="K200" s="10" t="s">
        <v>14</v>
      </c>
      <c r="L200" s="10" t="s">
        <v>314</v>
      </c>
      <c r="M200" s="10" t="s">
        <v>72</v>
      </c>
    </row>
    <row r="201">
      <c r="A201" s="2" t="s">
        <v>314</v>
      </c>
      <c r="B201" s="3" t="n">
        <v>46199</v>
      </c>
      <c r="C201" s="3" t="n">
        <v>46184</v>
      </c>
      <c r="D201" s="4" t="n">
        <f t="shared" si="29"/>
        <v>15</v>
      </c>
      <c r="E201" s="5" t="n">
        <v>3591219.6486996198</v>
      </c>
      <c r="F201" s="6" t="n">
        <v>27.2690136660725</v>
      </c>
      <c r="G201" s="7" t="n">
        <v>8375273.9321777299</v>
      </c>
      <c r="H201" s="8" t="n">
        <v>63.595513963160997</v>
      </c>
      <c r="I201" s="14" t="str">
        <f>=HYPERLINK("https://ucloud.univie.ac.at/index.php/f/1567854609","Open Cytogram")</f>
      </c>
      <c r="J201" s="9" t="s">
        <v>314</v>
      </c>
      <c r="K201" s="10" t="s">
        <v>104</v>
      </c>
      <c r="L201" s="10" t="s">
        <v>314</v>
      </c>
      <c r="M201" s="10" t="s">
        <v>49</v>
      </c>
    </row>
    <row r="202">
      <c r="A202" s="2" t="s">
        <v>314</v>
      </c>
      <c r="B202" s="3" t="n">
        <v>46203</v>
      </c>
      <c r="C202" s="3" t="n">
        <v>46184</v>
      </c>
      <c r="D202" s="4" t="n">
        <f t="shared" si="29"/>
        <v>19</v>
      </c>
      <c r="E202" s="5" t="n">
        <v>4717122.0164464395</v>
      </c>
      <c r="F202" s="6" t="n">
        <v>20.084982604232</v>
      </c>
      <c r="G202" s="7" t="n">
        <v>17684351.799268998</v>
      </c>
      <c r="H202" s="8" t="n">
        <v>75.298009467860595</v>
      </c>
      <c r="I202" s="14" t="str">
        <f>=HYPERLINK("https://ucloud.univie.ac.at/index.php/f/1563062920","Open Cytogram")</f>
      </c>
      <c r="J202" s="9" t="s">
        <v>314</v>
      </c>
      <c r="K202" t="s">
        <v>14</v>
      </c>
      <c r="L202" t="s">
        <v>314</v>
      </c>
      <c r="M202" t="s">
        <v>78</v>
      </c>
    </row>
    <row r="203">
      <c r="A203" s="2" t="s">
        <v>314</v>
      </c>
      <c r="B203" s="3" t="n">
        <v>46209</v>
      </c>
      <c r="C203" s="3" t="n">
        <v>46184</v>
      </c>
      <c r="D203" s="4" t="n">
        <f t="shared" si="29"/>
        <v>25</v>
      </c>
      <c r="E203" s="5" t="n">
        <v>4588528.0327523099</v>
      </c>
      <c r="F203" s="6" t="n">
        <v>18.520721256521899</v>
      </c>
      <c r="G203" s="7" t="n">
        <v>19267665.2235029</v>
      </c>
      <c r="H203" s="8" t="n">
        <v>77.770268443675505</v>
      </c>
      <c r="I203" s="14" t="str">
        <f>=HYPERLINK("https://ucloud.univie.ac.at/index.php/f/1563062920","Open Cytogram")</f>
      </c>
      <c r="J203" s="9" t="s">
        <v>314</v>
      </c>
      <c r="K203" s="10" t="s">
        <v>14</v>
      </c>
      <c r="L203" s="10" t="s">
        <v>314</v>
      </c>
      <c r="M203" s="10" t="s">
        <v>78</v>
      </c>
    </row>
    <row r="204">
      <c r="A204" s="2" t="s">
        <v>314</v>
      </c>
      <c r="B204" s="3" t="n">
        <v>46206</v>
      </c>
      <c r="C204" s="3" t="n">
        <v>46184</v>
      </c>
      <c r="D204" s="4" t="n">
        <f t="shared" si="29"/>
        <v>22</v>
      </c>
      <c r="E204" s="5" t="n">
        <v>6019805.8616811801</v>
      </c>
      <c r="F204" s="6" t="n">
        <v>30.815647821167801</v>
      </c>
      <c r="G204" s="7" t="n">
        <v>12311534.4180489</v>
      </c>
      <c r="H204" s="8" t="n">
        <v>63.023279733945898</v>
      </c>
      <c r="I204" s="14" t="str">
        <f>=HYPERLINK("https://ucloud.univie.ac.at/index.php/f/1563062920","Open Cytogram")</f>
      </c>
      <c r="J204" s="9" t="s">
        <v>314</v>
      </c>
      <c r="K204" t="s">
        <v>14</v>
      </c>
      <c r="L204" t="s">
        <v>314</v>
      </c>
      <c r="M204" t="s">
        <v>78</v>
      </c>
    </row>
    <row r="205">
      <c r="A205" s="2" t="s">
        <v>314</v>
      </c>
      <c r="B205" s="3" t="n">
        <v>46216</v>
      </c>
      <c r="C205" s="3" t="n">
        <v>46184</v>
      </c>
      <c r="D205" s="4" t="n">
        <f t="shared" si="29"/>
        <v>32</v>
      </c>
      <c r="E205" s="5" t="n">
        <v>7904921.6551040802</v>
      </c>
      <c r="F205" s="6" t="n">
        <v>26.3055890210047</v>
      </c>
      <c r="G205" s="7" t="n">
        <v>20892478.121902902</v>
      </c>
      <c r="H205" s="8" t="n">
        <v>69.5249070242523</v>
      </c>
      <c r="I205" s="14" t="str">
        <f>=HYPERLINK("https://ucloud.univie.ac.at/index.php/f/1563062920","Open Cytogram")</f>
      </c>
      <c r="J205" s="9" t="s">
        <v>314</v>
      </c>
      <c r="K205" s="10" t="s">
        <v>14</v>
      </c>
      <c r="L205" s="10" t="s">
        <v>314</v>
      </c>
      <c r="M205" s="10" t="s">
        <v>78</v>
      </c>
    </row>
    <row r="206" ht="15.75" customHeight="1">
      <c r="A206" s="17" t="s">
        <v>314</v>
      </c>
      <c r="B206" s="18" t="n">
        <v>46227</v>
      </c>
      <c r="C206" s="18" t="n">
        <v>46184</v>
      </c>
      <c r="D206" s="19" t="n">
        <f t="shared" si="29"/>
        <v>43</v>
      </c>
      <c r="E206" s="20" t="n">
        <v>8153287.9444217598</v>
      </c>
      <c r="F206" s="21" t="n">
        <v>27.391946804580702</v>
      </c>
      <c r="G206" s="22" t="n">
        <v>19746387.413159002</v>
      </c>
      <c r="H206" s="23" t="n">
        <v>66.340352173377696</v>
      </c>
      <c r="I206" s="24" t="str">
        <f>=HYPERLINK("https://ucloud.univie.ac.at/index.php/f/1563062920","Open Cytogram")</f>
      </c>
      <c r="J206" s="15" t="s">
        <v>314</v>
      </c>
      <c r="K206" s="25" t="s">
        <v>14</v>
      </c>
      <c r="L206" s="25" t="s">
        <v>314</v>
      </c>
      <c r="M206" s="25" t="s">
        <v>78</v>
      </c>
    </row>
    <row r="207" ht="16.5" customHeight="1">
      <c r="A207" s="17" t="s">
        <v>105</v>
      </c>
      <c r="B207" s="18" t="n">
        <v>46195</v>
      </c>
      <c r="C207" s="18" t="n">
        <v>46184</v>
      </c>
      <c r="D207" s="19" t="n">
        <f t="shared" si="29"/>
        <v>11</v>
      </c>
      <c r="E207" s="20" t="n">
        <v>4898275.2978326296</v>
      </c>
      <c r="F207" s="21" t="n">
        <v>23.306382457429901</v>
      </c>
      <c r="G207" s="22" t="n">
        <v>15177573.1304722</v>
      </c>
      <c r="H207" s="23" t="n">
        <v>72.216097023153296</v>
      </c>
      <c r="I207" s="24" t="str">
        <f>=HYPERLINK("https://ucloud.univie.ac.at/index.php/f/1552579218","Open Cytogram")</f>
      </c>
      <c r="J207" s="15" t="s">
        <v>314</v>
      </c>
      <c r="K207" s="25" t="s">
        <v>14</v>
      </c>
      <c r="L207" s="25" t="s">
        <v>314</v>
      </c>
      <c r="M207" s="25" t="s">
        <v>37</v>
      </c>
    </row>
    <row r="208">
      <c r="A208" s="17" t="s">
        <v>106</v>
      </c>
      <c r="B208" s="18" t="n">
        <v>46195</v>
      </c>
      <c r="C208" s="18" t="n">
        <v>46184</v>
      </c>
      <c r="D208" s="19" t="n">
        <f t="shared" si="29"/>
        <v>11</v>
      </c>
      <c r="E208" s="20" t="n">
        <v>3527273.1448256001</v>
      </c>
      <c r="F208" s="21" t="n">
        <v>16.3733604230781</v>
      </c>
      <c r="G208" s="22" t="n">
        <v>17394348.442658201</v>
      </c>
      <c r="H208" s="23" t="n">
        <v>80.743374465923694</v>
      </c>
      <c r="I208" s="24" t="str">
        <f>=HYPERLINK("https://ucloud.univie.ac.at/index.php/f/1552579218","Open Cytogram")</f>
      </c>
      <c r="J208" s="15" t="s">
        <v>314</v>
      </c>
      <c r="K208" s="16" t="s">
        <v>14</v>
      </c>
      <c r="L208" s="16" t="s">
        <v>314</v>
      </c>
      <c r="M208" s="16" t="s">
        <v>37</v>
      </c>
    </row>
    <row r="209">
      <c r="A209" s="17" t="s">
        <v>107</v>
      </c>
      <c r="B209" s="18" t="n">
        <v>46195</v>
      </c>
      <c r="C209" s="18" t="n">
        <v>46184</v>
      </c>
      <c r="D209" s="19" t="n">
        <f t="shared" si="29"/>
        <v>11</v>
      </c>
      <c r="E209" s="20" t="n">
        <v>3021354.0404765299</v>
      </c>
      <c r="F209" s="21" t="n">
        <v>14.437302002276001</v>
      </c>
      <c r="G209" s="22" t="n">
        <v>17469013.348643601</v>
      </c>
      <c r="H209" s="23" t="n">
        <v>83.474302586657601</v>
      </c>
      <c r="I209" s="24" t="str">
        <f>=HYPERLINK("https://ucloud.univie.ac.at/index.php/f/1552579218","Open Cytogram")</f>
      </c>
      <c r="J209" s="15" t="s">
        <v>314</v>
      </c>
      <c r="K209" s="25" t="s">
        <v>14</v>
      </c>
      <c r="L209" s="25" t="s">
        <v>314</v>
      </c>
      <c r="M209" s="25" t="s">
        <v>37</v>
      </c>
    </row>
    <row r="210">
      <c r="A210" s="2" t="s">
        <v>108</v>
      </c>
      <c r="B210" s="3" t="n">
        <v>46184</v>
      </c>
      <c r="C210" s="3" t="n">
        <v>46184</v>
      </c>
      <c r="D210" s="4" t="n">
        <f t="shared" si="29"/>
        <v>0</v>
      </c>
      <c r="E210" s="5" t="n">
        <v>1037793.53423628</v>
      </c>
      <c r="F210" s="6" t="n">
        <v>36.077659233481398</v>
      </c>
      <c r="G210" s="7" t="n">
        <v>1426356.92121394</v>
      </c>
      <c r="H210" s="8" t="n">
        <v>49.585603736434798</v>
      </c>
      <c r="I210" s="14" t="str">
        <f>=HYPERLINK("https://ucloud.univie.ac.at/index.php/f/1525440401","Open Cytogram")</f>
      </c>
      <c r="J210" s="9" t="s">
        <v>314</v>
      </c>
      <c r="K210" s="10" t="s">
        <v>14</v>
      </c>
      <c r="L210" s="10" t="s">
        <v>314</v>
      </c>
      <c r="M210" s="10" t="s">
        <v>28</v>
      </c>
    </row>
    <row r="211">
      <c r="A211" s="2" t="s">
        <v>314</v>
      </c>
      <c r="B211" s="3" t="n">
        <v>46191</v>
      </c>
      <c r="C211" s="3" t="n">
        <v>46184</v>
      </c>
      <c r="D211" s="4" t="n">
        <f t="shared" si="29"/>
        <v>7</v>
      </c>
      <c r="E211" s="5" t="n">
        <v>4864635.3024267396</v>
      </c>
      <c r="F211" s="6" t="n">
        <v>25.828308572139001</v>
      </c>
      <c r="G211" s="7" t="n">
        <v>10912354.593566401</v>
      </c>
      <c r="H211" s="8" t="n">
        <v>57.938086653819902</v>
      </c>
      <c r="I211" s="14" t="str">
        <f>=HYPERLINK("https://ucloud.univie.ac.at/index.php/f/1527059776","Open Cytogram")</f>
      </c>
      <c r="J211" s="9" t="s">
        <v>314</v>
      </c>
      <c r="K211" t="s">
        <v>14</v>
      </c>
      <c r="L211" t="s">
        <v>314</v>
      </c>
      <c r="M211" t="s">
        <v>34</v>
      </c>
    </row>
    <row r="212">
      <c r="A212" s="2" t="s">
        <v>314</v>
      </c>
      <c r="B212" s="3" t="n">
        <v>46196</v>
      </c>
      <c r="C212" s="3" t="n">
        <v>46184</v>
      </c>
      <c r="D212" s="4" t="n">
        <f t="shared" si="29"/>
        <v>12</v>
      </c>
      <c r="E212" s="5" t="n">
        <v>4956974.3967828397</v>
      </c>
      <c r="F212" s="6" t="n">
        <v>21.4612418163881</v>
      </c>
      <c r="G212" s="7" t="n">
        <v>17333874.530831099</v>
      </c>
      <c r="H212" s="8" t="n">
        <v>75.047083794206401</v>
      </c>
      <c r="I212" s="14" t="str">
        <f>=HYPERLINK("https://ucloud.univie.ac.at/index.php/f/1556102548","Open Cytogram")</f>
      </c>
      <c r="J212" s="9" t="s">
        <v>314</v>
      </c>
      <c r="K212" s="10" t="s">
        <v>14</v>
      </c>
      <c r="L212" s="10" t="s">
        <v>314</v>
      </c>
      <c r="M212" s="10" t="s">
        <v>72</v>
      </c>
    </row>
    <row r="213">
      <c r="A213" s="2" t="s">
        <v>314</v>
      </c>
      <c r="B213" s="3" t="n">
        <v>46197</v>
      </c>
      <c r="C213" s="3" t="n">
        <v>46184</v>
      </c>
      <c r="D213" s="4" t="n">
        <f t="shared" si="29"/>
        <v>13</v>
      </c>
      <c r="E213" s="5" t="n">
        <v>3712034.3163538901</v>
      </c>
      <c r="F213" s="6" t="n">
        <v>15.7082748948107</v>
      </c>
      <c r="G213" s="7" t="n">
        <v>19133962.600536201</v>
      </c>
      <c r="H213" s="8" t="n">
        <v>80.969495091164106</v>
      </c>
      <c r="I213" s="14" t="str">
        <f>=HYPERLINK("https://ucloud.univie.ac.at/index.php/f/1556102548","Open Cytogram")</f>
      </c>
      <c r="J213" s="9" t="s">
        <v>314</v>
      </c>
      <c r="K213" t="s">
        <v>14</v>
      </c>
      <c r="L213" t="s">
        <v>314</v>
      </c>
      <c r="M213" s="11" t="s">
        <v>72</v>
      </c>
    </row>
    <row r="214">
      <c r="A214" s="2" t="s">
        <v>314</v>
      </c>
      <c r="B214" s="3" t="n">
        <v>46199</v>
      </c>
      <c r="C214" s="3" t="n">
        <v>46184</v>
      </c>
      <c r="D214" s="4" t="n">
        <f t="shared" si="29"/>
        <v>15</v>
      </c>
      <c r="E214" s="5" t="n">
        <v>3504392.9177622702</v>
      </c>
      <c r="F214" s="6" t="n">
        <v>14.442960324527601</v>
      </c>
      <c r="G214" s="7" t="n">
        <v>20110498.0113681</v>
      </c>
      <c r="H214" s="8" t="n">
        <v>82.883150291876902</v>
      </c>
      <c r="I214" s="14" t="str">
        <f>=HYPERLINK("https://ucloud.univie.ac.at/index.php/f/1567854609","Open Cytogram")</f>
      </c>
      <c r="J214" s="9" t="s">
        <v>314</v>
      </c>
      <c r="K214" s="11" t="s">
        <v>104</v>
      </c>
      <c r="L214" s="11" t="s">
        <v>314</v>
      </c>
      <c r="M214" s="11" t="s">
        <v>49</v>
      </c>
    </row>
    <row r="215">
      <c r="A215" s="2" t="s">
        <v>314</v>
      </c>
      <c r="B215" s="3" t="n">
        <v>46203</v>
      </c>
      <c r="C215" s="3" t="n">
        <v>46184</v>
      </c>
      <c r="D215" s="4" t="n">
        <f t="shared" si="29"/>
        <v>19</v>
      </c>
      <c r="E215" s="5" t="n">
        <v>4847055.5208040401</v>
      </c>
      <c r="F215" s="6" t="n">
        <v>23.008202454377798</v>
      </c>
      <c r="G215" s="7" t="n">
        <v>14476199.810233301</v>
      </c>
      <c r="H215" s="8" t="n">
        <v>68.716220512494402</v>
      </c>
      <c r="I215" s="14" t="str">
        <f>=HYPERLINK("https://ucloud.univie.ac.at/index.php/f/1563062920","Open Cytogram")</f>
      </c>
      <c r="J215" s="9" t="s">
        <v>314</v>
      </c>
      <c r="K215" s="10" t="s">
        <v>14</v>
      </c>
      <c r="L215" s="10" t="s">
        <v>314</v>
      </c>
      <c r="M215" s="10" t="s">
        <v>78</v>
      </c>
    </row>
    <row r="216">
      <c r="A216" s="2" t="s">
        <v>314</v>
      </c>
      <c r="B216" s="3" t="n">
        <v>46209</v>
      </c>
      <c r="C216" s="3" t="n">
        <v>46184</v>
      </c>
      <c r="D216" s="4" t="n">
        <f t="shared" si="29"/>
        <v>25</v>
      </c>
      <c r="E216" s="5" t="n">
        <v>4802851.3389091799</v>
      </c>
      <c r="F216" s="6" t="n">
        <v>19.0055922186001</v>
      </c>
      <c r="G216" s="7" t="n">
        <v>19377505.9179083</v>
      </c>
      <c r="H216" s="8" t="n">
        <v>76.679653335453594</v>
      </c>
      <c r="I216" s="14" t="str">
        <f>=HYPERLINK("https://ucloud.univie.ac.at/index.php/f/1563062920","Open Cytogram")</f>
      </c>
      <c r="J216" s="9" t="s">
        <v>314</v>
      </c>
      <c r="K216" t="s">
        <v>14</v>
      </c>
      <c r="L216" t="s">
        <v>314</v>
      </c>
      <c r="M216" t="s">
        <v>78</v>
      </c>
    </row>
    <row r="217">
      <c r="A217" s="2" t="s">
        <v>314</v>
      </c>
      <c r="B217" s="3" t="n">
        <v>46206</v>
      </c>
      <c r="C217" s="3" t="n">
        <v>46184</v>
      </c>
      <c r="D217" s="4" t="n">
        <f t="shared" si="29"/>
        <v>22</v>
      </c>
      <c r="E217" s="5" t="n">
        <v>5415682.0424515</v>
      </c>
      <c r="F217" s="6" t="n">
        <v>29.935952019547599</v>
      </c>
      <c r="G217" s="7" t="n">
        <v>11453571.4330897</v>
      </c>
      <c r="H217" s="8" t="n">
        <v>63.311243567435497</v>
      </c>
      <c r="I217" s="14" t="str">
        <f>=HYPERLINK("https://ucloud.univie.ac.at/index.php/f/1563062920","Open Cytogram")</f>
      </c>
      <c r="J217" s="9" t="s">
        <v>314</v>
      </c>
      <c r="K217" s="10" t="s">
        <v>14</v>
      </c>
      <c r="L217" s="10" t="s">
        <v>314</v>
      </c>
      <c r="M217" s="10" t="s">
        <v>78</v>
      </c>
    </row>
    <row r="218">
      <c r="A218" s="2" t="s">
        <v>314</v>
      </c>
      <c r="B218" s="3" t="n">
        <v>46216</v>
      </c>
      <c r="C218" s="3" t="n">
        <v>46184</v>
      </c>
      <c r="D218" s="4" t="n">
        <f t="shared" si="29"/>
        <v>32</v>
      </c>
      <c r="E218" s="5" t="n">
        <v>6069608.8271352798</v>
      </c>
      <c r="F218" s="6" t="n">
        <v>18.639727607845298</v>
      </c>
      <c r="G218" s="7" t="n">
        <v>25676717.776869699</v>
      </c>
      <c r="H218" s="8" t="n">
        <v>78.853026423164593</v>
      </c>
      <c r="I218" s="14" t="str">
        <f>=HYPERLINK("https://ucloud.univie.ac.at/index.php/f/1563062920","Open Cytogram")</f>
      </c>
      <c r="J218" s="9" t="s">
        <v>314</v>
      </c>
      <c r="K218" t="s">
        <v>14</v>
      </c>
      <c r="L218" t="s">
        <v>314</v>
      </c>
      <c r="M218" t="s">
        <v>78</v>
      </c>
    </row>
    <row r="219" ht="15.75" customHeight="1">
      <c r="A219" s="17" t="s">
        <v>314</v>
      </c>
      <c r="B219" s="18" t="n">
        <v>46227</v>
      </c>
      <c r="C219" s="18" t="n">
        <v>46184</v>
      </c>
      <c r="D219" s="19" t="n">
        <f t="shared" si="29"/>
        <v>43</v>
      </c>
      <c r="E219" s="20" t="n">
        <v>5359471.9248059001</v>
      </c>
      <c r="F219" s="21" t="n">
        <v>21.2197068640255</v>
      </c>
      <c r="G219" s="22" t="n">
        <v>18499295.382100601</v>
      </c>
      <c r="H219" s="23" t="n">
        <v>73.244086489624195</v>
      </c>
      <c r="I219" s="24" t="str">
        <f>=HYPERLINK("https://ucloud.univie.ac.at/index.php/f/1563062920","Open Cytogram")</f>
      </c>
      <c r="J219" s="15" t="s">
        <v>314</v>
      </c>
      <c r="K219" s="16" t="s">
        <v>14</v>
      </c>
      <c r="L219" s="16" t="s">
        <v>314</v>
      </c>
      <c r="M219" s="16" t="s">
        <v>78</v>
      </c>
    </row>
    <row r="220" ht="16.5" customHeight="1">
      <c r="A220" s="17" t="s">
        <v>109</v>
      </c>
      <c r="B220" s="18" t="n">
        <v>46195</v>
      </c>
      <c r="C220" s="18" t="n">
        <v>46184</v>
      </c>
      <c r="D220" s="19" t="n">
        <f t="shared" si="29"/>
        <v>11</v>
      </c>
      <c r="E220" s="20" t="n">
        <v>4052502.1386536402</v>
      </c>
      <c r="F220" s="21" t="n">
        <v>21.3669992533768</v>
      </c>
      <c r="G220" s="22" t="n">
        <v>14165734.921774101</v>
      </c>
      <c r="H220" s="23" t="n">
        <v>74.689472612502598</v>
      </c>
      <c r="I220" s="24" t="str">
        <f>=HYPERLINK("https://ucloud.univie.ac.at/index.php/f/1552579218","Open Cytogram")</f>
      </c>
      <c r="J220" s="15" t="s">
        <v>314</v>
      </c>
      <c r="K220" s="16" t="s">
        <v>14</v>
      </c>
      <c r="L220" s="16" t="s">
        <v>314</v>
      </c>
      <c r="M220" s="16" t="s">
        <v>37</v>
      </c>
    </row>
    <row r="221">
      <c r="A221" s="17" t="s">
        <v>110</v>
      </c>
      <c r="B221" s="18" t="n">
        <v>46195</v>
      </c>
      <c r="C221" s="18" t="n">
        <v>46184</v>
      </c>
      <c r="D221" s="19" t="n">
        <f t="shared" si="29"/>
        <v>11</v>
      </c>
      <c r="E221" s="20" t="n">
        <v>4506928.2043921296</v>
      </c>
      <c r="F221" s="21" t="n">
        <v>18.807413376309398</v>
      </c>
      <c r="G221" s="22" t="n">
        <v>18109458.016362801</v>
      </c>
      <c r="H221" s="23" t="n">
        <v>75.570776255707798</v>
      </c>
      <c r="I221" s="24" t="str">
        <f>=HYPERLINK("https://ucloud.univie.ac.at/index.php/f/1552579218","Open Cytogram")</f>
      </c>
      <c r="J221" s="15" t="s">
        <v>314</v>
      </c>
      <c r="K221" s="25" t="s">
        <v>14</v>
      </c>
      <c r="L221" s="25" t="s">
        <v>314</v>
      </c>
      <c r="M221" s="25" t="s">
        <v>37</v>
      </c>
    </row>
    <row r="222">
      <c r="A222" s="17" t="s">
        <v>111</v>
      </c>
      <c r="B222" s="18" t="n">
        <v>46195</v>
      </c>
      <c r="C222" s="18" t="n">
        <v>46184</v>
      </c>
      <c r="D222" s="19" t="n">
        <f t="shared" si="29"/>
        <v>11</v>
      </c>
      <c r="E222" s="20" t="n">
        <v>3321944.6533658602</v>
      </c>
      <c r="F222" s="21" t="n">
        <v>14.9071372866179</v>
      </c>
      <c r="G222" s="22" t="n">
        <v>18393957.0546863</v>
      </c>
      <c r="H222" s="23" t="n">
        <v>82.542387568238894</v>
      </c>
      <c r="I222" s="24" t="str">
        <f>=HYPERLINK("https://ucloud.univie.ac.at/index.php/f/1552579218","Open Cytogram")</f>
      </c>
      <c r="J222" s="15" t="s">
        <v>314</v>
      </c>
      <c r="K222" s="16" t="s">
        <v>14</v>
      </c>
      <c r="L222" s="16" t="s">
        <v>314</v>
      </c>
      <c r="M222" s="16" t="s">
        <v>37</v>
      </c>
    </row>
    <row r="223">
      <c r="A223" s="2" t="s">
        <v>112</v>
      </c>
      <c r="B223" s="3" t="n">
        <v>46184</v>
      </c>
      <c r="C223" s="3" t="n">
        <v>46184</v>
      </c>
      <c r="D223" s="4" t="n">
        <f t="shared" si="29"/>
        <v>0</v>
      </c>
      <c r="E223" s="5" t="n">
        <v>1089162.9311587501</v>
      </c>
      <c r="F223" s="6" t="n">
        <v>30.793579860723199</v>
      </c>
      <c r="G223" s="7" t="n">
        <v>2055171.0261059301</v>
      </c>
      <c r="H223" s="8" t="n">
        <v>58.105239638029303</v>
      </c>
      <c r="I223" s="14" t="str">
        <f>=HYPERLINK("https://ucloud.univie.ac.at/index.php/f/1525440401","Open Cytogram")</f>
      </c>
      <c r="J223" s="9" t="s">
        <v>314</v>
      </c>
      <c r="K223" t="s">
        <v>14</v>
      </c>
      <c r="L223" t="s">
        <v>314</v>
      </c>
      <c r="M223" t="s">
        <v>28</v>
      </c>
    </row>
    <row r="224">
      <c r="A224" s="2" t="s">
        <v>314</v>
      </c>
      <c r="B224" s="3" t="n">
        <v>46191</v>
      </c>
      <c r="C224" s="3" t="n">
        <v>46184</v>
      </c>
      <c r="D224" s="4" t="n">
        <f t="shared" si="29"/>
        <v>7</v>
      </c>
      <c r="E224" s="5" t="n">
        <v>5349928.0419829097</v>
      </c>
      <c r="F224" s="6" t="n">
        <v>34.550678613284902</v>
      </c>
      <c r="G224" s="7" t="n">
        <v>6462764.5895055598</v>
      </c>
      <c r="H224" s="8" t="n">
        <v>41.737552455483701</v>
      </c>
      <c r="I224" s="14" t="str">
        <f>=HYPERLINK("https://ucloud.univie.ac.at/index.php/f/1527059776","Open Cytogram")</f>
      </c>
      <c r="J224" s="9" t="s">
        <v>314</v>
      </c>
      <c r="K224" s="10" t="s">
        <v>14</v>
      </c>
      <c r="L224" s="10" t="s">
        <v>314</v>
      </c>
      <c r="M224" s="10" t="s">
        <v>34</v>
      </c>
    </row>
    <row r="225">
      <c r="A225" s="2" t="s">
        <v>314</v>
      </c>
      <c r="B225" s="3" t="n">
        <v>46196</v>
      </c>
      <c r="C225" s="3" t="n">
        <v>46184</v>
      </c>
      <c r="D225" s="4" t="n">
        <f t="shared" si="29"/>
        <v>12</v>
      </c>
      <c r="E225" s="5" t="n">
        <v>6164628.4182305597</v>
      </c>
      <c r="F225" s="6" t="n">
        <v>23.672278934111102</v>
      </c>
      <c r="G225" s="7" t="n">
        <v>18758340.080428999</v>
      </c>
      <c r="H225" s="8" t="n">
        <v>72.032347872199395</v>
      </c>
      <c r="I225" s="14" t="str">
        <f>=HYPERLINK("https://ucloud.univie.ac.at/index.php/f/1556102548","Open Cytogram")</f>
      </c>
      <c r="J225" s="9" t="s">
        <v>314</v>
      </c>
      <c r="K225" t="s">
        <v>14</v>
      </c>
      <c r="L225" t="s">
        <v>314</v>
      </c>
      <c r="M225" t="s">
        <v>72</v>
      </c>
    </row>
    <row r="226">
      <c r="A226" s="2" t="s">
        <v>314</v>
      </c>
      <c r="B226" s="3" t="n">
        <v>46197</v>
      </c>
      <c r="C226" s="3" t="n">
        <v>46184</v>
      </c>
      <c r="D226" s="4" t="n">
        <f t="shared" si="29"/>
        <v>13</v>
      </c>
      <c r="E226" s="5" t="n">
        <v>5188976.5415549604</v>
      </c>
      <c r="F226" s="6" t="n">
        <v>19.4366852886406</v>
      </c>
      <c r="G226" s="7" t="n">
        <v>20565332.975871298</v>
      </c>
      <c r="H226" s="8" t="n">
        <v>77.032898820608295</v>
      </c>
      <c r="I226" s="14" t="str">
        <f>=HYPERLINK("https://ucloud.univie.ac.at/index.php/f/1556102548","Open Cytogram")</f>
      </c>
      <c r="J226" s="9" t="s">
        <v>314</v>
      </c>
      <c r="K226" s="10" t="s">
        <v>14</v>
      </c>
      <c r="L226" s="10" t="s">
        <v>314</v>
      </c>
      <c r="M226" s="10" t="s">
        <v>72</v>
      </c>
    </row>
    <row r="227">
      <c r="A227" s="2" t="s">
        <v>314</v>
      </c>
      <c r="B227" s="3" t="n">
        <v>46199</v>
      </c>
      <c r="C227" s="3" t="n">
        <v>46184</v>
      </c>
      <c r="D227" s="4" t="n">
        <f t="shared" si="29"/>
        <v>15</v>
      </c>
      <c r="E227" s="5" t="n">
        <v>4350632.6872510202</v>
      </c>
      <c r="F227" s="6" t="n">
        <v>18.358405510813999</v>
      </c>
      <c r="G227" s="7" t="n">
        <v>18626277.479491699</v>
      </c>
      <c r="H227" s="8" t="n">
        <v>78.597477586992895</v>
      </c>
      <c r="I227" s="14" t="str">
        <f>=HYPERLINK("https://ucloud.univie.ac.at/index.php/f/1567854609","Open Cytogram")</f>
      </c>
      <c r="J227" s="9" t="s">
        <v>314</v>
      </c>
      <c r="K227" s="10" t="s">
        <v>104</v>
      </c>
      <c r="L227" s="10" t="s">
        <v>314</v>
      </c>
      <c r="M227" s="10" t="s">
        <v>49</v>
      </c>
    </row>
    <row r="228">
      <c r="A228" s="2" t="s">
        <v>314</v>
      </c>
      <c r="B228" s="3" t="n">
        <v>46203</v>
      </c>
      <c r="C228" s="3" t="n">
        <v>46184</v>
      </c>
      <c r="D228" s="4" t="n">
        <f t="shared" si="29"/>
        <v>19</v>
      </c>
      <c r="E228" s="5" t="n">
        <v>5219442.2652516104</v>
      </c>
      <c r="F228" s="6" t="n">
        <v>22.978033318590601</v>
      </c>
      <c r="G228" s="7" t="n">
        <v>16450653.268203501</v>
      </c>
      <c r="H228" s="8" t="n">
        <v>72.422232050714996</v>
      </c>
      <c r="I228" s="14" t="str">
        <f>=HYPERLINK("https://ucloud.univie.ac.at/index.php/f/1563062920","Open Cytogram")</f>
      </c>
      <c r="J228" s="9" t="s">
        <v>314</v>
      </c>
      <c r="K228" t="s">
        <v>14</v>
      </c>
      <c r="L228" t="s">
        <v>314</v>
      </c>
      <c r="M228" t="s">
        <v>78</v>
      </c>
    </row>
    <row r="229">
      <c r="A229" s="2" t="s">
        <v>314</v>
      </c>
      <c r="B229" s="3" t="n">
        <v>46209</v>
      </c>
      <c r="C229" s="3" t="n">
        <v>46184</v>
      </c>
      <c r="D229" s="4" t="n">
        <f t="shared" si="29"/>
        <v>25</v>
      </c>
      <c r="E229" s="5" t="n">
        <v>4609290.6030362602</v>
      </c>
      <c r="F229" s="6" t="n">
        <v>22.2668004012036</v>
      </c>
      <c r="G229" s="7" t="n">
        <v>15194182.8858588</v>
      </c>
      <c r="H229" s="8" t="n">
        <v>73.400847704403503</v>
      </c>
      <c r="I229" s="14" t="str">
        <f>=HYPERLINK("https://ucloud.univie.ac.at/index.php/f/1563062920","Open Cytogram")</f>
      </c>
      <c r="J229" s="9" t="s">
        <v>314</v>
      </c>
      <c r="K229" s="10" t="s">
        <v>14</v>
      </c>
      <c r="L229" s="10" t="s">
        <v>314</v>
      </c>
      <c r="M229" s="10" t="s">
        <v>78</v>
      </c>
    </row>
    <row r="230">
      <c r="A230" s="2" t="s">
        <v>314</v>
      </c>
      <c r="B230" s="3" t="n">
        <v>46206</v>
      </c>
      <c r="C230" s="3" t="n">
        <v>46184</v>
      </c>
      <c r="D230" s="4" t="n">
        <f t="shared" si="29"/>
        <v>22</v>
      </c>
      <c r="E230" s="5" t="n">
        <v>5376835.9432105599</v>
      </c>
      <c r="F230" s="6" t="n">
        <v>31.430584918956999</v>
      </c>
      <c r="G230" s="7" t="n">
        <v>10617040.7787461</v>
      </c>
      <c r="H230" s="8" t="n">
        <v>62.062485318299302</v>
      </c>
      <c r="I230" s="14" t="str">
        <f>=HYPERLINK("https://ucloud.univie.ac.at/index.php/f/1563062920","Open Cytogram")</f>
      </c>
      <c r="J230" s="9" t="s">
        <v>314</v>
      </c>
      <c r="K230" t="s">
        <v>14</v>
      </c>
      <c r="L230" t="s">
        <v>314</v>
      </c>
      <c r="M230" t="s">
        <v>78</v>
      </c>
    </row>
    <row r="231">
      <c r="A231" s="2" t="s">
        <v>314</v>
      </c>
      <c r="B231" s="3" t="n">
        <v>46216</v>
      </c>
      <c r="C231" s="3" t="n">
        <v>46184</v>
      </c>
      <c r="D231" s="4" t="n">
        <f t="shared" si="29"/>
        <v>32</v>
      </c>
      <c r="E231" s="5" t="n">
        <v>7566852.3089497499</v>
      </c>
      <c r="F231" s="6" t="n">
        <v>21.889413136828701</v>
      </c>
      <c r="G231" s="7" t="n">
        <v>25877388.720882799</v>
      </c>
      <c r="H231" s="8" t="n">
        <v>74.858187987064596</v>
      </c>
      <c r="I231" s="14" t="str">
        <f>=HYPERLINK("https://ucloud.univie.ac.at/index.php/f/1563062920","Open Cytogram")</f>
      </c>
      <c r="J231" s="9" t="s">
        <v>314</v>
      </c>
      <c r="K231" s="10" t="s">
        <v>14</v>
      </c>
      <c r="L231" s="10" t="s">
        <v>314</v>
      </c>
      <c r="M231" s="10" t="s">
        <v>78</v>
      </c>
    </row>
    <row r="232" ht="15.75" customHeight="1">
      <c r="A232" s="17" t="s">
        <v>314</v>
      </c>
      <c r="B232" s="18" t="n">
        <v>46227</v>
      </c>
      <c r="C232" s="18" t="n">
        <v>46184</v>
      </c>
      <c r="D232" s="19" t="n">
        <f t="shared" si="29"/>
        <v>43</v>
      </c>
      <c r="E232" s="20" t="n">
        <v>7726289.4973437004</v>
      </c>
      <c r="F232" s="21" t="n">
        <v>22.225150900129201</v>
      </c>
      <c r="G232" s="22" t="n">
        <v>24818139.3543115</v>
      </c>
      <c r="H232" s="23" t="n">
        <v>71.390916998339407</v>
      </c>
      <c r="I232" s="24" t="str">
        <f>=HYPERLINK("https://ucloud.univie.ac.at/index.php/f/1563062920","Open Cytogram")</f>
      </c>
      <c r="J232" s="15" t="s">
        <v>314</v>
      </c>
      <c r="K232" s="25" t="s">
        <v>14</v>
      </c>
      <c r="L232" s="25" t="s">
        <v>314</v>
      </c>
      <c r="M232" s="25" t="s">
        <v>78</v>
      </c>
    </row>
    <row r="233" ht="16.5" customHeight="1">
      <c r="A233" s="17" t="s">
        <v>113</v>
      </c>
      <c r="B233" s="18" t="n">
        <v>46195</v>
      </c>
      <c r="C233" s="18" t="n">
        <v>46184</v>
      </c>
      <c r="D233" s="19" t="n">
        <f t="shared" si="29"/>
        <v>11</v>
      </c>
      <c r="E233" s="20" t="n">
        <v>4667200.2870675903</v>
      </c>
      <c r="F233" s="21" t="n">
        <v>22.053590437665399</v>
      </c>
      <c r="G233" s="22" t="n">
        <v>15543817.367590001</v>
      </c>
      <c r="H233" s="23" t="n">
        <v>73.448097569877405</v>
      </c>
      <c r="I233" s="24" t="str">
        <f>=HYPERLINK("https://ucloud.univie.ac.at/index.php/f/1552579218","Open Cytogram")</f>
      </c>
      <c r="J233" s="15" t="s">
        <v>314</v>
      </c>
      <c r="K233" s="25" t="s">
        <v>14</v>
      </c>
      <c r="L233" s="25" t="s">
        <v>314</v>
      </c>
      <c r="M233" s="25" t="s">
        <v>37</v>
      </c>
    </row>
    <row r="234">
      <c r="A234" s="17" t="s">
        <v>114</v>
      </c>
      <c r="B234" s="18" t="n">
        <v>46195</v>
      </c>
      <c r="C234" s="18" t="n">
        <v>46184</v>
      </c>
      <c r="D234" s="19" t="n">
        <f t="shared" si="29"/>
        <v>11</v>
      </c>
      <c r="E234" s="20" t="n">
        <v>5218819.4631835697</v>
      </c>
      <c r="F234" s="21" t="n">
        <v>21.2123590508333</v>
      </c>
      <c r="G234" s="22" t="n">
        <v>18555516.463327099</v>
      </c>
      <c r="H234" s="23" t="n">
        <v>75.420558302592696</v>
      </c>
      <c r="I234" s="24" t="str">
        <f>=HYPERLINK("https://ucloud.univie.ac.at/index.php/f/1552579218","Open Cytogram")</f>
      </c>
      <c r="J234" s="15" t="s">
        <v>314</v>
      </c>
      <c r="K234" s="16" t="s">
        <v>14</v>
      </c>
      <c r="L234" s="16" t="s">
        <v>314</v>
      </c>
      <c r="M234" s="16" t="s">
        <v>37</v>
      </c>
    </row>
    <row r="235">
      <c r="A235" s="17" t="s">
        <v>115</v>
      </c>
      <c r="B235" s="18" t="n">
        <v>46195</v>
      </c>
      <c r="C235" s="18" t="n">
        <v>46184</v>
      </c>
      <c r="D235" s="19" t="n">
        <f t="shared" si="29"/>
        <v>11</v>
      </c>
      <c r="E235" s="20" t="n">
        <v>3422356.0786565202</v>
      </c>
      <c r="F235" s="21" t="n">
        <v>17.968301172653799</v>
      </c>
      <c r="G235" s="22" t="n">
        <v>15057208.1527199</v>
      </c>
      <c r="H235" s="23" t="n">
        <v>79.054442229056093</v>
      </c>
      <c r="I235" s="24" t="str">
        <f>=HYPERLINK("https://ucloud.univie.ac.at/index.php/f/1552579218","Open Cytogram")</f>
      </c>
      <c r="J235" s="15" t="s">
        <v>314</v>
      </c>
      <c r="K235" s="25" t="s">
        <v>14</v>
      </c>
      <c r="L235" s="25" t="s">
        <v>314</v>
      </c>
      <c r="M235" s="25" t="s">
        <v>37</v>
      </c>
    </row>
    <row r="236">
      <c r="A236" s="2" t="s">
        <v>116</v>
      </c>
      <c r="B236" s="3" t="n">
        <v>46184</v>
      </c>
      <c r="C236" s="3" t="n">
        <v>46184</v>
      </c>
      <c r="D236" s="4" t="n">
        <f t="shared" si="29"/>
        <v>0</v>
      </c>
      <c r="E236" s="5" t="n">
        <v>941640.56050959998</v>
      </c>
      <c r="F236" s="6" t="n">
        <v>33.976522028420703</v>
      </c>
      <c r="G236" s="7" t="n">
        <v>1436630.80059843</v>
      </c>
      <c r="H236" s="8" t="n">
        <v>51.836889881659602</v>
      </c>
      <c r="I236" s="14" t="str">
        <f>=HYPERLINK("https://ucloud.univie.ac.at/index.php/f/1525440401","Open Cytogram")</f>
      </c>
      <c r="J236" s="9" t="s">
        <v>314</v>
      </c>
      <c r="K236" s="10" t="s">
        <v>14</v>
      </c>
      <c r="L236" s="10" t="s">
        <v>314</v>
      </c>
      <c r="M236" s="10" t="s">
        <v>28</v>
      </c>
    </row>
    <row r="237">
      <c r="A237" s="2" t="s">
        <v>314</v>
      </c>
      <c r="B237" s="3" t="n">
        <v>46191</v>
      </c>
      <c r="C237" s="3" t="n">
        <v>46184</v>
      </c>
      <c r="D237" s="4" t="n">
        <f t="shared" si="29"/>
        <v>7</v>
      </c>
      <c r="E237" s="5" t="n">
        <v>4032050.6414935398</v>
      </c>
      <c r="F237" s="6" t="n">
        <v>21.092525501682999</v>
      </c>
      <c r="G237" s="7" t="n">
        <v>12079451.9949142</v>
      </c>
      <c r="H237" s="8" t="n">
        <v>63.190215575939803</v>
      </c>
      <c r="I237" s="14" t="str">
        <f>=HYPERLINK("https://ucloud.univie.ac.at/index.php/f/1527059776","Open Cytogram")</f>
      </c>
      <c r="J237" s="9" t="s">
        <v>314</v>
      </c>
      <c r="K237" t="s">
        <v>14</v>
      </c>
      <c r="L237" t="s">
        <v>314</v>
      </c>
      <c r="M237" t="s">
        <v>34</v>
      </c>
    </row>
    <row r="238">
      <c r="A238" s="2" t="s">
        <v>314</v>
      </c>
      <c r="B238" s="3" t="n">
        <v>46196</v>
      </c>
      <c r="C238" s="3" t="n">
        <v>46184</v>
      </c>
      <c r="D238" s="4" t="n">
        <f t="shared" si="29"/>
        <v>12</v>
      </c>
      <c r="E238" s="5" t="n">
        <v>5444037.6968894796</v>
      </c>
      <c r="F238" s="6" t="n">
        <v>29.9190647482014</v>
      </c>
      <c r="G238" s="7" t="n">
        <v>11217521.2177366</v>
      </c>
      <c r="H238" s="8" t="n">
        <v>61.648681055155897</v>
      </c>
      <c r="I238" s="14" t="str">
        <f>=HYPERLINK("https://ucloud.univie.ac.at/index.php/f/1556102548","Open Cytogram")</f>
      </c>
      <c r="J238" s="9" t="s">
        <v>314</v>
      </c>
      <c r="K238" s="10" t="s">
        <v>14</v>
      </c>
      <c r="L238" s="10" t="s">
        <v>314</v>
      </c>
      <c r="M238" s="10" t="s">
        <v>72</v>
      </c>
    </row>
    <row r="239">
      <c r="A239" s="2" t="s">
        <v>314</v>
      </c>
      <c r="B239" s="3" t="n">
        <v>46197</v>
      </c>
      <c r="C239" s="3" t="n">
        <v>46184</v>
      </c>
      <c r="D239" s="4" t="n">
        <f t="shared" si="29"/>
        <v>13</v>
      </c>
      <c r="E239" s="5" t="n">
        <v>4457065.0134048304</v>
      </c>
      <c r="F239" s="6" t="n">
        <v>24.0993093149151</v>
      </c>
      <c r="G239" s="7" t="n">
        <v>12896833.5120643</v>
      </c>
      <c r="H239" s="8" t="n">
        <v>69.733059548254602</v>
      </c>
      <c r="I239" s="14" t="str">
        <f>=HYPERLINK("https://ucloud.univie.ac.at/index.php/f/1556102548","Open Cytogram")</f>
      </c>
      <c r="J239" s="9" t="s">
        <v>314</v>
      </c>
      <c r="K239" t="s">
        <v>14</v>
      </c>
      <c r="L239" t="s">
        <v>314</v>
      </c>
      <c r="M239" t="s">
        <v>72</v>
      </c>
    </row>
    <row r="240">
      <c r="A240" s="2" t="s">
        <v>314</v>
      </c>
      <c r="B240" s="3" t="n">
        <v>46199</v>
      </c>
      <c r="C240" s="3" t="n">
        <v>46184</v>
      </c>
      <c r="D240" s="4" t="n">
        <f t="shared" si="29"/>
        <v>15</v>
      </c>
      <c r="E240" s="5" t="n">
        <v>4237200.5479365699</v>
      </c>
      <c r="F240" s="6" t="n">
        <v>22.3029537197915</v>
      </c>
      <c r="G240" s="7" t="n">
        <v>13910741.402276799</v>
      </c>
      <c r="H240" s="8" t="n">
        <v>73.220660243247494</v>
      </c>
      <c r="I240" s="14" t="str">
        <f>=HYPERLINK("https://ucloud.univie.ac.at/index.php/f/1567854609","Open Cytogram")</f>
      </c>
      <c r="J240" s="9" t="s">
        <v>314</v>
      </c>
      <c r="K240" t="s">
        <v>104</v>
      </c>
      <c r="L240" t="s">
        <v>314</v>
      </c>
      <c r="M240" t="s">
        <v>49</v>
      </c>
    </row>
    <row r="241">
      <c r="A241" s="2" t="s">
        <v>314</v>
      </c>
      <c r="B241" s="3" t="n">
        <v>46203</v>
      </c>
      <c r="C241" s="3" t="n">
        <v>46184</v>
      </c>
      <c r="D241" s="4" t="n">
        <f t="shared" si="29"/>
        <v>19</v>
      </c>
      <c r="E241" s="5" t="n">
        <v>4509496.3136069598</v>
      </c>
      <c r="F241" s="6" t="n">
        <v>23.758777656233502</v>
      </c>
      <c r="G241" s="7" t="n">
        <v>13382481.1885015</v>
      </c>
      <c r="H241" s="8" t="n">
        <v>70.507075055577104</v>
      </c>
      <c r="I241" s="14" t="str">
        <f>=HYPERLINK("https://ucloud.univie.ac.at/index.php/f/1563062920","Open Cytogram")</f>
      </c>
      <c r="J241" s="9" t="s">
        <v>314</v>
      </c>
      <c r="K241" s="10" t="s">
        <v>14</v>
      </c>
      <c r="L241" s="10" t="s">
        <v>314</v>
      </c>
      <c r="M241" s="10" t="s">
        <v>78</v>
      </c>
    </row>
    <row r="242">
      <c r="A242" s="2" t="s">
        <v>314</v>
      </c>
      <c r="B242" s="3" t="n">
        <v>46209</v>
      </c>
      <c r="C242" s="3" t="n">
        <v>46184</v>
      </c>
      <c r="D242" s="4" t="n">
        <f t="shared" si="29"/>
        <v>25</v>
      </c>
      <c r="E242" s="5" t="n">
        <v>4607447.1312577398</v>
      </c>
      <c r="F242" s="6" t="n">
        <v>21.028457556684199</v>
      </c>
      <c r="G242" s="7" t="n">
        <v>15923993.2864202</v>
      </c>
      <c r="H242" s="8" t="n">
        <v>72.677343313324698</v>
      </c>
      <c r="I242" s="14" t="str">
        <f>=HYPERLINK("https://ucloud.univie.ac.at/index.php/f/1563062920","Open Cytogram")</f>
      </c>
      <c r="J242" s="9" t="s">
        <v>314</v>
      </c>
      <c r="K242" t="s">
        <v>14</v>
      </c>
      <c r="L242" t="s">
        <v>314</v>
      </c>
      <c r="M242" t="s">
        <v>78</v>
      </c>
    </row>
    <row r="243">
      <c r="A243" s="2" t="s">
        <v>314</v>
      </c>
      <c r="B243" s="3" t="n">
        <v>46206</v>
      </c>
      <c r="C243" s="3" t="n">
        <v>46184</v>
      </c>
      <c r="D243" s="4" t="n">
        <f t="shared" si="29"/>
        <v>22</v>
      </c>
      <c r="E243" s="5" t="n">
        <v>4547278.2273132</v>
      </c>
      <c r="F243" s="6" t="n">
        <v>32.221551463929998</v>
      </c>
      <c r="G243" s="7" t="n">
        <v>8375724.4163509002</v>
      </c>
      <c r="H243" s="8" t="n">
        <v>59.3495321460912</v>
      </c>
      <c r="I243" s="14" t="str">
        <f>=HYPERLINK("https://ucloud.univie.ac.at/index.php/f/1563062920","Open Cytogram")</f>
      </c>
      <c r="J243" s="9" t="s">
        <v>314</v>
      </c>
      <c r="K243" s="10" t="s">
        <v>14</v>
      </c>
      <c r="L243" s="10" t="s">
        <v>314</v>
      </c>
      <c r="M243" s="10" t="s">
        <v>78</v>
      </c>
    </row>
    <row r="244">
      <c r="A244" s="2" t="s">
        <v>314</v>
      </c>
      <c r="B244" s="3" t="n">
        <v>46216</v>
      </c>
      <c r="C244" s="3" t="n">
        <v>46184</v>
      </c>
      <c r="D244" s="4" t="n">
        <f t="shared" si="29"/>
        <v>32</v>
      </c>
      <c r="E244" s="5" t="n">
        <v>8135878.1364936801</v>
      </c>
      <c r="F244" s="6" t="n">
        <v>35.079609655880802</v>
      </c>
      <c r="G244" s="7" t="n">
        <v>12967557.9893748</v>
      </c>
      <c r="H244" s="8" t="n">
        <v>55.912449132788097</v>
      </c>
      <c r="I244" s="14" t="str">
        <f>=HYPERLINK("https://ucloud.univie.ac.at/index.php/f/1563062920","Open Cytogram")</f>
      </c>
      <c r="J244" s="9" t="s">
        <v>314</v>
      </c>
      <c r="K244" t="s">
        <v>14</v>
      </c>
      <c r="L244" t="s">
        <v>314</v>
      </c>
      <c r="M244" t="s">
        <v>78</v>
      </c>
    </row>
    <row r="245" ht="15.75" customHeight="1">
      <c r="A245" s="17" t="s">
        <v>314</v>
      </c>
      <c r="B245" s="18" t="n">
        <v>46227</v>
      </c>
      <c r="C245" s="18" t="n">
        <v>46184</v>
      </c>
      <c r="D245" s="19" t="n">
        <f t="shared" si="29"/>
        <v>43</v>
      </c>
      <c r="E245" s="20" t="n">
        <v>10036296.117695199</v>
      </c>
      <c r="F245" s="21" t="n">
        <v>29.691778036813101</v>
      </c>
      <c r="G245" s="22" t="n">
        <v>19232339.9264406</v>
      </c>
      <c r="H245" s="23" t="n">
        <v>56.897720187589798</v>
      </c>
      <c r="I245" s="24" t="str">
        <f>=HYPERLINK("https://ucloud.univie.ac.at/index.php/f/1563062920","Open Cytogram")</f>
      </c>
      <c r="J245" s="15" t="s">
        <v>314</v>
      </c>
      <c r="K245" s="16" t="s">
        <v>14</v>
      </c>
      <c r="L245" s="16" t="s">
        <v>314</v>
      </c>
      <c r="M245" s="16" t="s">
        <v>78</v>
      </c>
    </row>
    <row r="246" ht="16.5" customHeight="1">
      <c r="A246" s="17" t="s">
        <v>118</v>
      </c>
      <c r="B246" s="18" t="n">
        <v>46195</v>
      </c>
      <c r="C246" s="18" t="n">
        <v>46184</v>
      </c>
      <c r="D246" s="19" t="n">
        <f t="shared" si="29"/>
        <v>11</v>
      </c>
      <c r="E246" s="20" t="n">
        <v>3211234.6203530901</v>
      </c>
      <c r="F246" s="21" t="n">
        <v>16.1388412641931</v>
      </c>
      <c r="G246" s="22" t="n">
        <v>16108953.4663413</v>
      </c>
      <c r="H246" s="23" t="n">
        <v>80.959466890952001</v>
      </c>
      <c r="I246" s="24" t="str">
        <f>=HYPERLINK("https://ucloud.univie.ac.at/index.php/f/1552579218","Open Cytogram")</f>
      </c>
      <c r="J246" s="15" t="s">
        <v>314</v>
      </c>
      <c r="K246" s="16" t="s">
        <v>14</v>
      </c>
      <c r="L246" s="16" t="s">
        <v>314</v>
      </c>
      <c r="M246" s="16" t="s">
        <v>37</v>
      </c>
    </row>
    <row r="247">
      <c r="A247" s="17" t="s">
        <v>119</v>
      </c>
      <c r="B247" s="18" t="n">
        <v>46195</v>
      </c>
      <c r="C247" s="18" t="n">
        <v>46184</v>
      </c>
      <c r="D247" s="19" t="n">
        <f t="shared" si="29"/>
        <v>11</v>
      </c>
      <c r="E247" s="20" t="n">
        <v>2396044.06828016</v>
      </c>
      <c r="F247" s="21" t="n">
        <v>14.381177348169301</v>
      </c>
      <c r="G247" s="22" t="n">
        <v>13636271.5474436</v>
      </c>
      <c r="H247" s="23" t="n">
        <v>81.845589606514594</v>
      </c>
      <c r="I247" s="24" t="str">
        <f>=HYPERLINK("https://ucloud.univie.ac.at/index.php/f/1552579218","Open Cytogram")</f>
      </c>
      <c r="J247" s="15" t="s">
        <v>314</v>
      </c>
      <c r="K247" s="25" t="s">
        <v>14</v>
      </c>
      <c r="L247" s="25" t="s">
        <v>314</v>
      </c>
      <c r="M247" s="25" t="s">
        <v>37</v>
      </c>
    </row>
    <row r="248">
      <c r="A248" s="17" t="s">
        <v>120</v>
      </c>
      <c r="B248" s="18" t="n">
        <v>46195</v>
      </c>
      <c r="C248" s="18" t="n">
        <v>46184</v>
      </c>
      <c r="D248" s="19" t="n">
        <f t="shared" si="29"/>
        <v>11</v>
      </c>
      <c r="E248" s="20" t="n">
        <v>4225647.4809817597</v>
      </c>
      <c r="F248" s="21" t="n">
        <v>22.5981893910709</v>
      </c>
      <c r="G248" s="22" t="n">
        <v>13265250.4090713</v>
      </c>
      <c r="H248" s="23" t="n">
        <v>70.940759354239106</v>
      </c>
      <c r="I248" s="24" t="str">
        <f>=HYPERLINK("https://ucloud.univie.ac.at/index.php/f/1552579218","Open Cytogram")</f>
      </c>
      <c r="J248" s="15" t="s">
        <v>314</v>
      </c>
      <c r="K248" s="16" t="s">
        <v>14</v>
      </c>
      <c r="L248" s="16" t="s">
        <v>314</v>
      </c>
      <c r="M248" s="16" t="s">
        <v>37</v>
      </c>
    </row>
    <row r="249">
      <c r="A249" s="17" t="s">
        <v>121</v>
      </c>
      <c r="B249" s="18" t="n">
        <v>46195</v>
      </c>
      <c r="C249" s="18" t="n">
        <v>46184</v>
      </c>
      <c r="D249" s="19" t="n">
        <f t="shared" si="29"/>
        <v>11</v>
      </c>
      <c r="E249" s="20" t="n">
        <v>2970846.0816345899</v>
      </c>
      <c r="F249" s="21" t="n">
        <v>25.857484112318001</v>
      </c>
      <c r="G249" s="22" t="n">
        <v>7640206.22074896</v>
      </c>
      <c r="H249" s="23" t="n">
        <v>66.498399963942802</v>
      </c>
      <c r="I249" s="24" t="str">
        <f>=HYPERLINK("https://ucloud.univie.ac.at/index.php/f/1552579218","Open Cytogram")</f>
      </c>
      <c r="J249" s="15" t="s">
        <v>314</v>
      </c>
      <c r="K249" s="25" t="s">
        <v>14</v>
      </c>
      <c r="L249" s="25" t="s">
        <v>314</v>
      </c>
      <c r="M249" s="25" t="s">
        <v>37</v>
      </c>
    </row>
    <row r="250">
      <c r="A250" s="2" t="s">
        <v>122</v>
      </c>
      <c r="B250" s="3" t="n">
        <v>46184</v>
      </c>
      <c r="C250" s="3" t="n">
        <v>46184</v>
      </c>
      <c r="D250" s="4" t="n">
        <f t="shared" si="29"/>
        <v>0</v>
      </c>
      <c r="E250" s="5" t="n">
        <v>1181496.12921683</v>
      </c>
      <c r="F250" s="6" t="n">
        <v>32.440056417489401</v>
      </c>
      <c r="G250" s="7" t="n">
        <v>1969160.21536138</v>
      </c>
      <c r="H250" s="8" t="n">
        <v>54.066760695815702</v>
      </c>
      <c r="I250" s="14" t="str">
        <f>=HYPERLINK("https://ucloud.univie.ac.at/index.php/f/1525440401","Open Cytogram")</f>
      </c>
      <c r="J250" s="9" t="s">
        <v>314</v>
      </c>
      <c r="K250" s="10" t="s">
        <v>14</v>
      </c>
      <c r="L250" s="10" t="s">
        <v>314</v>
      </c>
      <c r="M250" s="10" t="s">
        <v>28</v>
      </c>
    </row>
    <row r="251">
      <c r="A251" s="2" t="s">
        <v>314</v>
      </c>
      <c r="B251" s="3" t="n">
        <v>46191</v>
      </c>
      <c r="C251" s="3" t="n">
        <v>46184</v>
      </c>
      <c r="D251" s="4" t="n">
        <f t="shared" si="29"/>
        <v>7</v>
      </c>
      <c r="E251" s="5" t="n">
        <v>4214276.3435271801</v>
      </c>
      <c r="F251" s="6" t="n">
        <v>25.870646766169202</v>
      </c>
      <c r="G251" s="7" t="n">
        <v>9317087.1748679597</v>
      </c>
      <c r="H251" s="8" t="n">
        <v>57.1958389868838</v>
      </c>
      <c r="I251" s="14" t="str">
        <f>=HYPERLINK("https://ucloud.univie.ac.at/index.php/f/1527059776","Open Cytogram")</f>
      </c>
      <c r="J251" s="9" t="s">
        <v>314</v>
      </c>
      <c r="K251" t="s">
        <v>14</v>
      </c>
      <c r="L251" t="s">
        <v>314</v>
      </c>
      <c r="M251" t="s">
        <v>34</v>
      </c>
    </row>
    <row r="252">
      <c r="A252" s="2" t="s">
        <v>314</v>
      </c>
      <c r="B252" s="3" t="n">
        <v>46196</v>
      </c>
      <c r="C252" s="3" t="n">
        <v>46184</v>
      </c>
      <c r="D252" s="4" t="n">
        <f t="shared" si="29"/>
        <v>12</v>
      </c>
      <c r="E252" s="5" t="n">
        <v>6871454.4540039701</v>
      </c>
      <c r="F252" s="6" t="n">
        <v>40.089101034208397</v>
      </c>
      <c r="G252" s="7" t="n">
        <v>8649589.1992058307</v>
      </c>
      <c r="H252" s="8" t="n">
        <v>50.4630071599045</v>
      </c>
      <c r="I252" s="14" t="str">
        <f>=HYPERLINK("https://ucloud.univie.ac.at/index.php/f/1556102548","Open Cytogram")</f>
      </c>
      <c r="J252" s="9" t="s">
        <v>314</v>
      </c>
      <c r="K252" s="10" t="s">
        <v>14</v>
      </c>
      <c r="L252" s="10" t="s">
        <v>314</v>
      </c>
      <c r="M252" s="10" t="s">
        <v>72</v>
      </c>
    </row>
    <row r="253">
      <c r="A253" s="2" t="s">
        <v>314</v>
      </c>
      <c r="B253" s="3" t="n">
        <v>46197</v>
      </c>
      <c r="C253" s="3" t="n">
        <v>46184</v>
      </c>
      <c r="D253" s="4" t="n">
        <f t="shared" si="29"/>
        <v>13</v>
      </c>
      <c r="E253" s="5" t="n">
        <v>7070541.5549597898</v>
      </c>
      <c r="F253" s="6" t="n">
        <v>28.662598667636999</v>
      </c>
      <c r="G253" s="7" t="n">
        <v>16360984.5844504</v>
      </c>
      <c r="H253" s="8" t="n">
        <v>66.324245647427603</v>
      </c>
      <c r="I253" s="14" t="str">
        <f>=HYPERLINK("https://ucloud.univie.ac.at/index.php/f/1556102548","Open Cytogram")</f>
      </c>
      <c r="J253" s="9" t="s">
        <v>314</v>
      </c>
      <c r="K253" t="s">
        <v>14</v>
      </c>
      <c r="L253" t="s">
        <v>314</v>
      </c>
      <c r="M253" s="11" t="s">
        <v>72</v>
      </c>
    </row>
    <row r="254">
      <c r="A254" s="2" t="s">
        <v>314</v>
      </c>
      <c r="B254" s="3" t="n">
        <v>46199</v>
      </c>
      <c r="C254" s="3" t="n">
        <v>46184</v>
      </c>
      <c r="D254" s="4" t="n">
        <f t="shared" si="29"/>
        <v>15</v>
      </c>
      <c r="E254" s="5" t="n">
        <v>4504276.2198674204</v>
      </c>
      <c r="F254" s="6" t="n">
        <v>24.965072184152699</v>
      </c>
      <c r="G254" s="7" t="n">
        <v>12574762.872573201</v>
      </c>
      <c r="H254" s="8" t="n">
        <v>69.695961679196301</v>
      </c>
      <c r="I254" s="14" t="str">
        <f>=HYPERLINK("https://ucloud.univie.ac.at/index.php/f/1567854609","Open Cytogram")</f>
      </c>
      <c r="J254" s="9" t="s">
        <v>314</v>
      </c>
      <c r="K254" s="11" t="s">
        <v>104</v>
      </c>
      <c r="L254" s="11" t="s">
        <v>314</v>
      </c>
      <c r="M254" s="11" t="s">
        <v>49</v>
      </c>
    </row>
    <row r="255">
      <c r="A255" s="2" t="s">
        <v>314</v>
      </c>
      <c r="B255" s="3" t="n">
        <v>46203</v>
      </c>
      <c r="C255" s="3" t="n">
        <v>46184</v>
      </c>
      <c r="D255" s="4" t="n">
        <f t="shared" si="29"/>
        <v>19</v>
      </c>
      <c r="E255" s="5" t="n">
        <v>5734487.9603598397</v>
      </c>
      <c r="F255" s="6" t="n">
        <v>25.9148279306274</v>
      </c>
      <c r="G255" s="7" t="n">
        <v>15041477.530222099</v>
      </c>
      <c r="H255" s="8" t="n">
        <v>67.974212294560999</v>
      </c>
      <c r="I255" s="14" t="str">
        <f>=HYPERLINK("https://ucloud.univie.ac.at/index.php/f/1563062920","Open Cytogram")</f>
      </c>
      <c r="J255" s="9" t="s">
        <v>314</v>
      </c>
      <c r="K255" s="10" t="s">
        <v>14</v>
      </c>
      <c r="L255" s="10" t="s">
        <v>314</v>
      </c>
      <c r="M255" s="10" t="s">
        <v>78</v>
      </c>
    </row>
    <row r="256">
      <c r="A256" s="2" t="s">
        <v>314</v>
      </c>
      <c r="B256" s="3" t="n">
        <v>46209</v>
      </c>
      <c r="C256" s="3" t="n">
        <v>46184</v>
      </c>
      <c r="D256" s="4" t="n">
        <f t="shared" si="29"/>
        <v>25</v>
      </c>
      <c r="E256" s="5" t="n">
        <v>8178443.4108799398</v>
      </c>
      <c r="F256" s="6" t="n">
        <v>31.573367808661899</v>
      </c>
      <c r="G256" s="7" t="n">
        <v>15620150.4568456</v>
      </c>
      <c r="H256" s="8" t="n">
        <v>60.302521008403403</v>
      </c>
      <c r="I256" s="14" t="str">
        <f>=HYPERLINK("https://ucloud.univie.ac.at/index.php/f/1563062920","Open Cytogram")</f>
      </c>
      <c r="J256" s="9" t="s">
        <v>314</v>
      </c>
      <c r="K256" t="s">
        <v>14</v>
      </c>
      <c r="L256" t="s">
        <v>314</v>
      </c>
      <c r="M256" t="s">
        <v>78</v>
      </c>
    </row>
    <row r="257">
      <c r="A257" s="2" t="s">
        <v>314</v>
      </c>
      <c r="B257" s="3" t="n">
        <v>46206</v>
      </c>
      <c r="C257" s="3" t="n">
        <v>46184</v>
      </c>
      <c r="D257" s="4" t="n">
        <f t="shared" si="29"/>
        <v>22</v>
      </c>
      <c r="E257" s="5" t="n">
        <v>4393927.3924810896</v>
      </c>
      <c r="F257" s="6" t="n">
        <v>31.592649310872901</v>
      </c>
      <c r="G257" s="7" t="n">
        <v>7695762.5549599202</v>
      </c>
      <c r="H257" s="8" t="n">
        <v>55.333078101071997</v>
      </c>
      <c r="I257" s="14" t="str">
        <f>=HYPERLINK("https://ucloud.univie.ac.at/index.php/f/1563062920","Open Cytogram")</f>
      </c>
      <c r="J257" s="9" t="s">
        <v>314</v>
      </c>
      <c r="K257" s="10" t="s">
        <v>14</v>
      </c>
      <c r="L257" s="10" t="s">
        <v>314</v>
      </c>
      <c r="M257" s="10" t="s">
        <v>78</v>
      </c>
    </row>
    <row r="258">
      <c r="A258" s="2" t="s">
        <v>314</v>
      </c>
      <c r="B258" s="3" t="n">
        <v>46216</v>
      </c>
      <c r="C258" s="3" t="n">
        <v>46184</v>
      </c>
      <c r="D258" s="4" t="n">
        <f t="shared" ref="D258:D321" si="44">IF(OR(C258="",B258=""),"",B258-C258)</f>
        <v>32</v>
      </c>
      <c r="E258" s="5" t="n">
        <v>15808105.5986923</v>
      </c>
      <c r="F258" s="6" t="n">
        <v>44.1532516059683</v>
      </c>
      <c r="G258" s="7" t="n">
        <v>18153848.1405803</v>
      </c>
      <c r="H258" s="8" t="n">
        <v>50.705090471681203</v>
      </c>
      <c r="I258" s="14" t="str">
        <f>=HYPERLINK("https://ucloud.univie.ac.at/index.php/f/1563062920","Open Cytogram")</f>
      </c>
      <c r="J258" s="9" t="s">
        <v>314</v>
      </c>
      <c r="K258" t="s">
        <v>14</v>
      </c>
      <c r="L258" t="s">
        <v>314</v>
      </c>
      <c r="M258" t="s">
        <v>78</v>
      </c>
    </row>
    <row r="259" ht="15.75" customHeight="1">
      <c r="A259" s="17" t="s">
        <v>314</v>
      </c>
      <c r="B259" s="18" t="n">
        <v>46227</v>
      </c>
      <c r="C259" s="18" t="n">
        <v>46184</v>
      </c>
      <c r="D259" s="19" t="n">
        <f t="shared" si="44"/>
        <v>43</v>
      </c>
      <c r="E259" s="20" t="n">
        <v>10116014.7118921</v>
      </c>
      <c r="F259" s="21" t="n">
        <v>33.595033777615498</v>
      </c>
      <c r="G259" s="22" t="n">
        <v>16743653.698406201</v>
      </c>
      <c r="H259" s="23" t="n">
        <v>55.605258353113001</v>
      </c>
      <c r="I259" s="24" t="str">
        <f>=HYPERLINK("https://ucloud.univie.ac.at/index.php/f/1563062920","Open Cytogram")</f>
      </c>
      <c r="J259" s="15" t="s">
        <v>314</v>
      </c>
      <c r="K259" s="16" t="s">
        <v>14</v>
      </c>
      <c r="L259" s="16" t="s">
        <v>314</v>
      </c>
      <c r="M259" s="16" t="s">
        <v>78</v>
      </c>
    </row>
    <row r="260" ht="16.5" customHeight="1">
      <c r="A260" s="17" t="s">
        <v>123</v>
      </c>
      <c r="B260" s="18" t="n">
        <v>46195</v>
      </c>
      <c r="C260" s="18" t="n">
        <v>46184</v>
      </c>
      <c r="D260" s="19" t="n">
        <f t="shared" si="44"/>
        <v>11</v>
      </c>
      <c r="E260" s="20" t="n">
        <v>4185740.3760585501</v>
      </c>
      <c r="F260" s="21" t="n">
        <v>22.773594817019799</v>
      </c>
      <c r="G260" s="22" t="n">
        <v>13286491.2874982</v>
      </c>
      <c r="H260" s="23" t="n">
        <v>72.288565925407099</v>
      </c>
      <c r="I260" s="24" t="str">
        <f>=HYPERLINK("https://ucloud.univie.ac.at/index.php/f/1552579218","Open Cytogram")</f>
      </c>
      <c r="J260" s="15" t="s">
        <v>314</v>
      </c>
      <c r="K260" s="16" t="s">
        <v>14</v>
      </c>
      <c r="L260" s="16" t="s">
        <v>314</v>
      </c>
      <c r="M260" s="16" t="s">
        <v>37</v>
      </c>
    </row>
    <row r="261">
      <c r="A261" s="17" t="s">
        <v>124</v>
      </c>
      <c r="B261" s="18" t="n">
        <v>46195</v>
      </c>
      <c r="C261" s="18" t="n">
        <v>46184</v>
      </c>
      <c r="D261" s="19" t="n">
        <f t="shared" si="44"/>
        <v>11</v>
      </c>
      <c r="E261" s="20" t="n">
        <v>2401769.4567781799</v>
      </c>
      <c r="F261" s="21" t="n">
        <v>35.871684867394698</v>
      </c>
      <c r="G261" s="22" t="n">
        <v>3560546.5118967602</v>
      </c>
      <c r="H261" s="23" t="n">
        <v>53.178627145085798</v>
      </c>
      <c r="I261" s="24" t="str">
        <f>=HYPERLINK("https://ucloud.univie.ac.at/index.php/f/1552579218","Open Cytogram")</f>
      </c>
      <c r="J261" s="15" t="s">
        <v>314</v>
      </c>
      <c r="K261" s="25" t="s">
        <v>14</v>
      </c>
      <c r="L261" s="25" t="s">
        <v>314</v>
      </c>
      <c r="M261" s="25" t="s">
        <v>37</v>
      </c>
    </row>
    <row r="262">
      <c r="A262" s="17" t="s">
        <v>125</v>
      </c>
      <c r="B262" s="18" t="n">
        <v>46195</v>
      </c>
      <c r="C262" s="18" t="n">
        <v>46184</v>
      </c>
      <c r="D262" s="19" t="n">
        <f t="shared" si="44"/>
        <v>11</v>
      </c>
      <c r="E262" s="20" t="n">
        <v>8961076.0442083906</v>
      </c>
      <c r="F262" s="21" t="n">
        <v>43.840534072301303</v>
      </c>
      <c r="G262" s="22" t="n">
        <v>8017466.1116692796</v>
      </c>
      <c r="H262" s="23" t="n">
        <v>39.224083637737699</v>
      </c>
      <c r="I262" s="24" t="str">
        <f>=HYPERLINK("https://ucloud.univie.ac.at/index.php/f/1552579218","Open Cytogram")</f>
      </c>
      <c r="J262" s="15" t="s">
        <v>314</v>
      </c>
      <c r="K262" s="16" t="s">
        <v>14</v>
      </c>
      <c r="L262" s="16" t="s">
        <v>314</v>
      </c>
      <c r="M262" s="16" t="s">
        <v>37</v>
      </c>
    </row>
    <row r="263">
      <c r="A263" s="17" t="s">
        <v>126</v>
      </c>
      <c r="B263" s="18" t="n">
        <v>46195</v>
      </c>
      <c r="C263" s="18" t="n">
        <v>46184</v>
      </c>
      <c r="D263" s="19" t="n">
        <f t="shared" si="44"/>
        <v>11</v>
      </c>
      <c r="E263" s="20" t="n">
        <v>4764393.3974450901</v>
      </c>
      <c r="F263" s="21" t="n">
        <v>22.1842594257628</v>
      </c>
      <c r="G263" s="22" t="n">
        <v>15942244.7538395</v>
      </c>
      <c r="H263" s="23" t="n">
        <v>74.231253371695701</v>
      </c>
      <c r="I263" s="24" t="str">
        <f>=HYPERLINK("https://ucloud.univie.ac.at/index.php/f/1552579218","Open Cytogram")</f>
      </c>
      <c r="J263" s="15" t="s">
        <v>314</v>
      </c>
      <c r="K263" s="25" t="s">
        <v>14</v>
      </c>
      <c r="L263" s="25" t="s">
        <v>314</v>
      </c>
      <c r="M263" s="25" t="s">
        <v>37</v>
      </c>
    </row>
    <row r="264">
      <c r="A264" s="2" t="s">
        <v>127</v>
      </c>
      <c r="B264" s="3" t="n">
        <v>46184</v>
      </c>
      <c r="C264" s="3" t="n">
        <v>46184</v>
      </c>
      <c r="D264" s="4" t="n">
        <f t="shared" si="44"/>
        <v>0</v>
      </c>
      <c r="E264" s="5" t="n">
        <v>958236.82720762899</v>
      </c>
      <c r="F264" s="6" t="n">
        <v>29.7667757774141</v>
      </c>
      <c r="G264" s="7" t="n">
        <v>1908043.80466388</v>
      </c>
      <c r="H264" s="8" t="n">
        <v>59.2716857610475</v>
      </c>
      <c r="I264" s="14" t="str">
        <f>=HYPERLINK("https://ucloud.univie.ac.at/index.php/f/1525440401","Open Cytogram")</f>
      </c>
      <c r="J264" s="9" t="s">
        <v>314</v>
      </c>
      <c r="K264" s="10" t="s">
        <v>14</v>
      </c>
      <c r="L264" s="10" t="s">
        <v>314</v>
      </c>
      <c r="M264" s="10" t="s">
        <v>28</v>
      </c>
    </row>
    <row r="265">
      <c r="A265" s="2" t="s">
        <v>314</v>
      </c>
      <c r="B265" s="3" t="n">
        <v>46191</v>
      </c>
      <c r="C265" s="3" t="n">
        <v>46184</v>
      </c>
      <c r="D265" s="4" t="n">
        <f t="shared" si="44"/>
        <v>7</v>
      </c>
      <c r="E265" s="5" t="n">
        <v>2058020.7318623399</v>
      </c>
      <c r="F265" s="6" t="n">
        <v>20.7631318136769</v>
      </c>
      <c r="G265" s="7" t="n">
        <v>6747262.7192345997</v>
      </c>
      <c r="H265" s="8" t="n">
        <v>68.072348860257705</v>
      </c>
      <c r="I265" s="14" t="str">
        <f>=HYPERLINK("https://ucloud.univie.ac.at/index.php/f/1527059776","Open Cytogram")</f>
      </c>
      <c r="J265" s="9" t="s">
        <v>314</v>
      </c>
      <c r="K265" t="s">
        <v>14</v>
      </c>
      <c r="L265" t="s">
        <v>314</v>
      </c>
      <c r="M265" t="s">
        <v>34</v>
      </c>
    </row>
    <row r="266">
      <c r="A266" s="2" t="s">
        <v>314</v>
      </c>
      <c r="B266" s="3" t="n">
        <v>46196</v>
      </c>
      <c r="C266" s="3" t="n">
        <v>46184</v>
      </c>
      <c r="D266" s="4" t="n">
        <f t="shared" si="44"/>
        <v>12</v>
      </c>
      <c r="E266" s="5" t="n">
        <v>6693640.9794837898</v>
      </c>
      <c r="F266" s="6" t="n">
        <v>27.774131492588001</v>
      </c>
      <c r="G266" s="7" t="n">
        <v>16443928.312375899</v>
      </c>
      <c r="H266" s="8" t="n">
        <v>68.231300215005106</v>
      </c>
      <c r="I266" s="14" t="str">
        <f>=HYPERLINK("https://ucloud.univie.ac.at/index.php/f/1556102548","Open Cytogram")</f>
      </c>
      <c r="J266" s="9" t="s">
        <v>314</v>
      </c>
      <c r="K266" s="10" t="s">
        <v>14</v>
      </c>
      <c r="L266" s="10" t="s">
        <v>314</v>
      </c>
      <c r="M266" s="10" t="s">
        <v>72</v>
      </c>
    </row>
    <row r="267">
      <c r="A267" s="2" t="s">
        <v>314</v>
      </c>
      <c r="B267" s="3" t="n">
        <v>46197</v>
      </c>
      <c r="C267" s="3" t="n">
        <v>46184</v>
      </c>
      <c r="D267" s="4" t="n">
        <f t="shared" si="44"/>
        <v>13</v>
      </c>
      <c r="E267" s="5" t="n">
        <v>5519308.4315023199</v>
      </c>
      <c r="F267" s="6" t="n">
        <v>32.504577430856699</v>
      </c>
      <c r="G267" s="7" t="n">
        <v>10281000.555923199</v>
      </c>
      <c r="H267" s="8" t="n">
        <v>60.5473643634962</v>
      </c>
      <c r="I267" s="14" t="str">
        <f>=HYPERLINK("https://ucloud.univie.ac.at/index.php/f/1556102548","Open Cytogram")</f>
      </c>
      <c r="J267" s="9" t="s">
        <v>314</v>
      </c>
      <c r="K267" t="s">
        <v>14</v>
      </c>
      <c r="L267" t="s">
        <v>314</v>
      </c>
      <c r="M267" s="11" t="s">
        <v>72</v>
      </c>
    </row>
    <row r="268">
      <c r="A268" s="2" t="s">
        <v>314</v>
      </c>
      <c r="B268" s="3" t="n">
        <v>46199</v>
      </c>
      <c r="C268" s="3" t="n">
        <v>46184</v>
      </c>
      <c r="D268" s="4" t="n">
        <f t="shared" si="44"/>
        <v>15</v>
      </c>
      <c r="E268" s="5" t="n">
        <v>4390844.0805529701</v>
      </c>
      <c r="F268" s="6" t="n">
        <v>23.418693982074299</v>
      </c>
      <c r="G268" s="7" t="n">
        <v>13922744.8032624</v>
      </c>
      <c r="H268" s="8" t="n">
        <v>74.257362355953902</v>
      </c>
      <c r="I268" s="14" t="str">
        <f>=HYPERLINK("https://ucloud.univie.ac.at/index.php/f/1567854609","Open Cytogram")</f>
      </c>
      <c r="J268" s="9" t="s">
        <v>314</v>
      </c>
      <c r="K268" s="11" t="s">
        <v>104</v>
      </c>
      <c r="L268" s="11" t="s">
        <v>314</v>
      </c>
      <c r="M268" s="11" t="s">
        <v>49</v>
      </c>
    </row>
    <row r="269">
      <c r="A269" s="2" t="s">
        <v>314</v>
      </c>
      <c r="B269" s="3" t="n">
        <v>46203</v>
      </c>
      <c r="C269" s="3" t="n">
        <v>46184</v>
      </c>
      <c r="D269" s="4" t="n">
        <f t="shared" si="44"/>
        <v>19</v>
      </c>
      <c r="E269" s="5" t="n">
        <v>3932832.6679786299</v>
      </c>
      <c r="F269" s="6" t="n">
        <v>23.064535134922799</v>
      </c>
      <c r="G269" s="7" t="n">
        <v>12087164.7069159</v>
      </c>
      <c r="H269" s="8" t="n">
        <v>70.886523429828301</v>
      </c>
      <c r="I269" s="14" t="str">
        <f>=HYPERLINK("https://ucloud.univie.ac.at/index.php/f/1563062920","Open Cytogram")</f>
      </c>
      <c r="J269" s="9" t="s">
        <v>314</v>
      </c>
      <c r="K269" s="10" t="s">
        <v>14</v>
      </c>
      <c r="L269" s="10" t="s">
        <v>314</v>
      </c>
      <c r="M269" s="10" t="s">
        <v>78</v>
      </c>
    </row>
    <row r="270">
      <c r="A270" s="2" t="s">
        <v>314</v>
      </c>
      <c r="B270" s="3" t="n">
        <v>46209</v>
      </c>
      <c r="C270" s="3" t="n">
        <v>46184</v>
      </c>
      <c r="D270" s="4" t="n">
        <f t="shared" si="44"/>
        <v>25</v>
      </c>
      <c r="E270" s="5" t="n">
        <v>5885184.0350013999</v>
      </c>
      <c r="F270" s="6" t="n">
        <v>29.1568503832498</v>
      </c>
      <c r="G270" s="7" t="n">
        <v>12949146.2538656</v>
      </c>
      <c r="H270" s="8" t="n">
        <v>64.153698111955407</v>
      </c>
      <c r="I270" s="14" t="str">
        <f>=HYPERLINK("https://ucloud.univie.ac.at/index.php/f/1563062920","Open Cytogram")</f>
      </c>
      <c r="J270" s="9" t="s">
        <v>314</v>
      </c>
      <c r="K270" t="s">
        <v>14</v>
      </c>
      <c r="L270" t="s">
        <v>314</v>
      </c>
      <c r="M270" t="s">
        <v>78</v>
      </c>
    </row>
    <row r="271">
      <c r="A271" s="2" t="s">
        <v>314</v>
      </c>
      <c r="B271" s="3" t="n">
        <v>46206</v>
      </c>
      <c r="C271" s="3" t="n">
        <v>46184</v>
      </c>
      <c r="D271" s="4" t="n">
        <f t="shared" si="44"/>
        <v>22</v>
      </c>
      <c r="E271" s="5" t="n">
        <v>4403404.6985584404</v>
      </c>
      <c r="F271" s="6" t="n">
        <v>29.6568554507306</v>
      </c>
      <c r="G271" s="7" t="n">
        <v>8785598.8175352607</v>
      </c>
      <c r="H271" s="8" t="n">
        <v>59.1708580101783</v>
      </c>
      <c r="I271" s="14" t="str">
        <f>=HYPERLINK("https://ucloud.univie.ac.at/index.php/f/1563062920","Open Cytogram")</f>
      </c>
      <c r="J271" s="9" t="s">
        <v>314</v>
      </c>
      <c r="K271" s="10" t="s">
        <v>14</v>
      </c>
      <c r="L271" s="10" t="s">
        <v>314</v>
      </c>
      <c r="M271" s="10" t="s">
        <v>78</v>
      </c>
    </row>
    <row r="272">
      <c r="A272" s="2" t="s">
        <v>314</v>
      </c>
      <c r="B272" s="3" t="n">
        <v>46216</v>
      </c>
      <c r="C272" s="3" t="n">
        <v>46184</v>
      </c>
      <c r="D272" s="4" t="n">
        <f t="shared" si="44"/>
        <v>32</v>
      </c>
      <c r="E272" s="5" t="n">
        <v>12375624.5198202</v>
      </c>
      <c r="F272" s="6" t="n">
        <v>44.078195881335503</v>
      </c>
      <c r="G272" s="7" t="n">
        <v>13511843.5635472</v>
      </c>
      <c r="H272" s="8" t="n">
        <v>48.125061192519802</v>
      </c>
      <c r="I272" s="14" t="str">
        <f>=HYPERLINK("https://ucloud.univie.ac.at/index.php/f/1563062920","Open Cytogram")</f>
      </c>
      <c r="J272" s="9" t="s">
        <v>314</v>
      </c>
      <c r="K272" t="s">
        <v>14</v>
      </c>
      <c r="L272" t="s">
        <v>314</v>
      </c>
      <c r="M272" t="s">
        <v>78</v>
      </c>
    </row>
    <row r="273" ht="15.75" customHeight="1">
      <c r="A273" s="17" t="s">
        <v>314</v>
      </c>
      <c r="B273" s="18" t="n">
        <v>46227</v>
      </c>
      <c r="C273" s="18" t="n">
        <v>46184</v>
      </c>
      <c r="D273" s="19" t="n">
        <f t="shared" si="44"/>
        <v>43</v>
      </c>
      <c r="E273" s="20" t="n">
        <v>7759276.5018389998</v>
      </c>
      <c r="F273" s="21" t="n">
        <v>28.048093802788902</v>
      </c>
      <c r="G273" s="22" t="n">
        <v>17175233.6738864</v>
      </c>
      <c r="H273" s="23" t="n">
        <v>62.0847272365937</v>
      </c>
      <c r="I273" s="24" t="str">
        <f>=HYPERLINK("https://ucloud.univie.ac.at/index.php/f/1563062920","Open Cytogram")</f>
      </c>
      <c r="J273" s="15" t="s">
        <v>314</v>
      </c>
      <c r="K273" s="16" t="s">
        <v>14</v>
      </c>
      <c r="L273" s="16" t="s">
        <v>314</v>
      </c>
      <c r="M273" s="16" t="s">
        <v>78</v>
      </c>
    </row>
    <row r="274" ht="16.5" customHeight="1">
      <c r="A274" s="17" t="s">
        <v>128</v>
      </c>
      <c r="B274" s="18" t="n">
        <v>46195</v>
      </c>
      <c r="C274" s="18" t="n">
        <v>46184</v>
      </c>
      <c r="D274" s="19" t="n">
        <f t="shared" si="44"/>
        <v>11</v>
      </c>
      <c r="E274" s="20" t="n">
        <v>3351458.22561253</v>
      </c>
      <c r="F274" s="21" t="n">
        <v>29.726253904097</v>
      </c>
      <c r="G274" s="22" t="n">
        <v>7057636.6126194596</v>
      </c>
      <c r="H274" s="23" t="n">
        <v>62.598750688958297</v>
      </c>
      <c r="I274" s="24" t="str">
        <f>=HYPERLINK("https://ucloud.univie.ac.at/index.php/f/1552579218","Open Cytogram")</f>
      </c>
      <c r="J274" s="15" t="s">
        <v>314</v>
      </c>
      <c r="K274" s="16" t="s">
        <v>14</v>
      </c>
      <c r="L274" s="16" t="s">
        <v>314</v>
      </c>
      <c r="M274" s="16" t="s">
        <v>37</v>
      </c>
    </row>
    <row r="275">
      <c r="A275" s="17" t="s">
        <v>129</v>
      </c>
      <c r="B275" s="18" t="n">
        <v>46195</v>
      </c>
      <c r="C275" s="18" t="n">
        <v>46184</v>
      </c>
      <c r="D275" s="19" t="n">
        <f t="shared" si="44"/>
        <v>11</v>
      </c>
      <c r="E275" s="20" t="n">
        <v>3540254.1004005801</v>
      </c>
      <c r="F275" s="21" t="n">
        <v>29.435280558957</v>
      </c>
      <c r="G275" s="22" t="n">
        <v>7488116.0692065097</v>
      </c>
      <c r="H275" s="23" t="n">
        <v>62.2595980695815</v>
      </c>
      <c r="I275" s="24" t="str">
        <f>=HYPERLINK("https://ucloud.univie.ac.at/index.php/f/1552579218","Open Cytogram")</f>
      </c>
      <c r="J275" s="15" t="s">
        <v>314</v>
      </c>
      <c r="K275" s="25" t="s">
        <v>14</v>
      </c>
      <c r="L275" s="25" t="s">
        <v>314</v>
      </c>
      <c r="M275" s="25" t="s">
        <v>37</v>
      </c>
    </row>
    <row r="276">
      <c r="A276" s="17" t="s">
        <v>130</v>
      </c>
      <c r="B276" s="18" t="n">
        <v>46195</v>
      </c>
      <c r="C276" s="18" t="n">
        <v>46184</v>
      </c>
      <c r="D276" s="19" t="n">
        <f t="shared" si="44"/>
        <v>11</v>
      </c>
      <c r="E276" s="20" t="n">
        <v>3466125.1614755201</v>
      </c>
      <c r="F276" s="21" t="n">
        <v>19.7267199062202</v>
      </c>
      <c r="G276" s="22" t="n">
        <v>13384328.0608583</v>
      </c>
      <c r="H276" s="23" t="n">
        <v>76.174078687083295</v>
      </c>
      <c r="I276" s="24" t="str">
        <f>=HYPERLINK("https://ucloud.univie.ac.at/index.php/f/1552579218","Open Cytogram")</f>
      </c>
      <c r="J276" s="15" t="s">
        <v>314</v>
      </c>
      <c r="K276" s="16" t="s">
        <v>14</v>
      </c>
      <c r="L276" s="16" t="s">
        <v>314</v>
      </c>
      <c r="M276" s="16" t="s">
        <v>37</v>
      </c>
    </row>
    <row r="277">
      <c r="A277" s="17" t="s">
        <v>131</v>
      </c>
      <c r="B277" s="18" t="n">
        <v>46195</v>
      </c>
      <c r="C277" s="18" t="n">
        <v>46184</v>
      </c>
      <c r="D277" s="19" t="n">
        <f t="shared" si="44"/>
        <v>11</v>
      </c>
      <c r="E277" s="20" t="n">
        <v>3387598.2775943698</v>
      </c>
      <c r="F277" s="21" t="n">
        <v>21.7344621102622</v>
      </c>
      <c r="G277" s="22" t="n">
        <v>11538946.2896512</v>
      </c>
      <c r="H277" s="23" t="n">
        <v>74.032624406359702</v>
      </c>
      <c r="I277" s="24" t="str">
        <f>=HYPERLINK("https://ucloud.univie.ac.at/index.php/f/1552579218","Open Cytogram")</f>
      </c>
      <c r="J277" s="15" t="s">
        <v>314</v>
      </c>
      <c r="K277" s="25" t="s">
        <v>14</v>
      </c>
      <c r="L277" s="25" t="s">
        <v>314</v>
      </c>
      <c r="M277" s="25" t="s">
        <v>37</v>
      </c>
    </row>
    <row r="278">
      <c r="A278" s="2" t="s">
        <v>132</v>
      </c>
      <c r="B278" s="3" t="n">
        <v>46204</v>
      </c>
      <c r="C278" s="3" t="n">
        <v>46199</v>
      </c>
      <c r="D278" s="4" t="n">
        <f t="shared" si="44"/>
        <v>5</v>
      </c>
      <c r="E278" s="5" t="n">
        <v>4800954.1515084105</v>
      </c>
      <c r="F278" s="6" t="n">
        <v>24.472654997755999</v>
      </c>
      <c r="G278" s="7" t="n">
        <v>13249476.2986611</v>
      </c>
      <c r="H278" s="8" t="n">
        <v>67.538629223568606</v>
      </c>
      <c r="I278" s="14" t="str">
        <f>=HYPERLINK("https://ucloud.univie.ac.at/index.php/f/1543012007","Open Cytogram")</f>
      </c>
      <c r="J278" s="9" t="s">
        <v>314</v>
      </c>
      <c r="K278" s="10" t="s">
        <v>14</v>
      </c>
      <c r="L278" s="10" t="s">
        <v>314</v>
      </c>
      <c r="M278" s="10" t="s">
        <v>46</v>
      </c>
    </row>
    <row r="279">
      <c r="A279" s="17" t="s">
        <v>314</v>
      </c>
      <c r="B279" s="18" t="n">
        <v>46211</v>
      </c>
      <c r="C279" s="18" t="n">
        <v>46199</v>
      </c>
      <c r="D279" s="19" t="n">
        <f t="shared" si="44"/>
        <v>12</v>
      </c>
      <c r="E279" s="20" t="n">
        <v>15902952.476645701</v>
      </c>
      <c r="F279" s="21" t="n">
        <v>61.229641044716601</v>
      </c>
      <c r="G279" s="22" t="n">
        <v>7975974.1690202001</v>
      </c>
      <c r="H279" s="23" t="n">
        <v>30.709142599038199</v>
      </c>
      <c r="I279" s="24" t="str">
        <f>=HYPERLINK("https://ucloud.univie.ac.at/index.php/f/1547933978","Open Cytogram")</f>
      </c>
      <c r="J279" s="15" t="s">
        <v>314</v>
      </c>
      <c r="K279" s="25" t="s">
        <v>14</v>
      </c>
      <c r="L279" s="25" t="s">
        <v>314</v>
      </c>
      <c r="M279" s="25" t="s">
        <v>36</v>
      </c>
    </row>
    <row r="280">
      <c r="A280" s="2" t="s">
        <v>133</v>
      </c>
      <c r="B280" s="3" t="n">
        <v>46204</v>
      </c>
      <c r="C280" s="3" t="n">
        <v>46199</v>
      </c>
      <c r="D280" s="4" t="n">
        <f t="shared" si="44"/>
        <v>5</v>
      </c>
      <c r="E280" s="5" t="n">
        <v>4934279.0506595401</v>
      </c>
      <c r="F280" s="6" t="n">
        <v>29.100215117572901</v>
      </c>
      <c r="G280" s="7" t="n">
        <v>10181116.945083801</v>
      </c>
      <c r="H280" s="8" t="n">
        <v>60.043765299310103</v>
      </c>
      <c r="I280" s="14" t="str">
        <f>=HYPERLINK("https://ucloud.univie.ac.at/index.php/f/1543012007","Open Cytogram")</f>
      </c>
      <c r="J280" s="9" t="s">
        <v>314</v>
      </c>
      <c r="K280" s="10" t="s">
        <v>14</v>
      </c>
      <c r="L280" s="10" t="s">
        <v>314</v>
      </c>
      <c r="M280" s="10" t="s">
        <v>46</v>
      </c>
    </row>
    <row r="281">
      <c r="A281" s="17" t="s">
        <v>314</v>
      </c>
      <c r="B281" s="18" t="n">
        <v>46211</v>
      </c>
      <c r="C281" s="18" t="n">
        <v>46199</v>
      </c>
      <c r="D281" s="19" t="n">
        <f t="shared" si="44"/>
        <v>12</v>
      </c>
      <c r="E281" s="20" t="n">
        <v>15182506.289376499</v>
      </c>
      <c r="F281" s="21" t="n">
        <v>59.8080791605502</v>
      </c>
      <c r="G281" s="22" t="n">
        <v>8385883.2066043904</v>
      </c>
      <c r="H281" s="23" t="n">
        <v>33.034306529657997</v>
      </c>
      <c r="I281" s="24" t="str">
        <f>=HYPERLINK("https://ucloud.univie.ac.at/index.php/f/1547933978","Open Cytogram")</f>
      </c>
      <c r="J281" s="15" t="s">
        <v>314</v>
      </c>
      <c r="K281" s="25" t="s">
        <v>14</v>
      </c>
      <c r="L281" s="25" t="s">
        <v>314</v>
      </c>
      <c r="M281" s="25" t="s">
        <v>36</v>
      </c>
    </row>
    <row r="282">
      <c r="A282" s="17" t="s">
        <v>134</v>
      </c>
      <c r="B282" s="18" t="n">
        <v>46204</v>
      </c>
      <c r="C282" s="18"/>
      <c r="D282" s="19" t="str">
        <f t="shared" si="44"/>
        <v/>
      </c>
      <c r="E282" s="20"/>
      <c r="F282" s="21"/>
      <c r="G282" s="22"/>
      <c r="H282" s="23"/>
      <c r="I282" s="24" t="str">
        <f>=HYPERLINK("https://ucloud.univie.ac.at/index.php/f/1543012007","Open Cytogram")</f>
      </c>
      <c r="J282" s="15" t="s">
        <v>314</v>
      </c>
      <c r="K282" s="16" t="s">
        <v>14</v>
      </c>
      <c r="L282" s="16" t="s">
        <v>314</v>
      </c>
      <c r="M282" s="16" t="s">
        <v>46</v>
      </c>
    </row>
    <row r="283" ht="15.75" customHeight="1">
      <c r="A283" s="2" t="s">
        <v>135</v>
      </c>
      <c r="B283" s="3" t="n">
        <v>46224</v>
      </c>
      <c r="C283" s="3" t="n">
        <v>46213</v>
      </c>
      <c r="D283" s="4" t="n">
        <f t="shared" si="44"/>
        <v>11</v>
      </c>
      <c r="E283" s="5" t="n">
        <v>3489743.33843798</v>
      </c>
      <c r="F283" s="6" t="n">
        <v>43.4797259350781</v>
      </c>
      <c r="G283" s="7" t="n">
        <v>1883704.1347626301</v>
      </c>
      <c r="H283" s="8" t="n">
        <v>23.469616983039401</v>
      </c>
      <c r="I283" s="14" t="str">
        <f>=HYPERLINK("https://ucloud.univie.ac.at/index.php/f/1556102548","Open Cytogram")</f>
      </c>
      <c r="J283" s="9" t="s">
        <v>314</v>
      </c>
      <c r="K283" t="s">
        <v>14</v>
      </c>
      <c r="L283" t="s">
        <v>314</v>
      </c>
      <c r="M283" t="s">
        <v>72</v>
      </c>
    </row>
    <row r="284" ht="15.75" customHeight="1">
      <c r="A284" s="17" t="s">
        <v>314</v>
      </c>
      <c r="B284" s="18" t="n">
        <v>46231</v>
      </c>
      <c r="C284" s="18" t="n">
        <v>46213</v>
      </c>
      <c r="D284" s="19" t="n">
        <f t="shared" si="44"/>
        <v>18</v>
      </c>
      <c r="E284" s="20" t="n">
        <v>4892174.0717722699</v>
      </c>
      <c r="F284" s="21" t="n">
        <v>41.127380320157798</v>
      </c>
      <c r="G284" s="22" t="n">
        <v>5089810.3237033002</v>
      </c>
      <c r="H284" s="23" t="n">
        <v>42.788862756998697</v>
      </c>
      <c r="I284" s="24" t="str">
        <f>=HYPERLINK("https://ucloud.univie.ac.at/index.php/f/1563062920","Open Cytogram")</f>
      </c>
      <c r="J284" s="15" t="s">
        <v>314</v>
      </c>
      <c r="K284" s="16" t="s">
        <v>14</v>
      </c>
      <c r="L284" s="16" t="s">
        <v>314</v>
      </c>
      <c r="M284" s="16" t="s">
        <v>78</v>
      </c>
    </row>
    <row r="285" ht="15.75" customHeight="1">
      <c r="A285" s="2" t="s">
        <v>136</v>
      </c>
      <c r="B285" s="3" t="n">
        <v>46224</v>
      </c>
      <c r="C285" s="3" t="n">
        <v>46213</v>
      </c>
      <c r="D285" s="4" t="n">
        <f t="shared" si="44"/>
        <v>11</v>
      </c>
      <c r="E285" s="5" t="n">
        <v>10114348.870121</v>
      </c>
      <c r="F285" s="6" t="n">
        <v>40.895261276336797</v>
      </c>
      <c r="G285" s="7" t="n">
        <v>13157213.056379801</v>
      </c>
      <c r="H285" s="8" t="n">
        <v>53.198448315204999</v>
      </c>
      <c r="I285" s="14" t="str">
        <f>=HYPERLINK("https://ucloud.univie.ac.at/index.php/f/1556102548","Open Cytogram")</f>
      </c>
      <c r="J285" s="9" t="s">
        <v>314</v>
      </c>
      <c r="K285" t="s">
        <v>14</v>
      </c>
      <c r="L285" t="s">
        <v>314</v>
      </c>
      <c r="M285" t="s">
        <v>72</v>
      </c>
    </row>
    <row r="286" ht="15.75" customHeight="1">
      <c r="A286" s="17" t="s">
        <v>314</v>
      </c>
      <c r="B286" s="18" t="n">
        <v>46231</v>
      </c>
      <c r="C286" s="18" t="n">
        <v>46213</v>
      </c>
      <c r="D286" s="19" t="n">
        <f t="shared" si="44"/>
        <v>18</v>
      </c>
      <c r="E286" s="20" t="n">
        <v>5718516.2088416005</v>
      </c>
      <c r="F286" s="21" t="n">
        <v>43.588920480601701</v>
      </c>
      <c r="G286" s="22" t="n">
        <v>5955559.3846736504</v>
      </c>
      <c r="H286" s="23" t="n">
        <v>45.395762634137398</v>
      </c>
      <c r="I286" s="24" t="str">
        <f>=HYPERLINK("https://ucloud.univie.ac.at/index.php/f/1563062920","Open Cytogram")</f>
      </c>
      <c r="J286" s="15" t="s">
        <v>314</v>
      </c>
      <c r="K286" s="16" t="s">
        <v>14</v>
      </c>
      <c r="L286" s="16" t="s">
        <v>314</v>
      </c>
      <c r="M286" s="16" t="s">
        <v>78</v>
      </c>
    </row>
    <row r="287" ht="15.75" customHeight="1">
      <c r="A287" s="2" t="s">
        <v>137</v>
      </c>
      <c r="B287" s="3" t="n">
        <v>46224</v>
      </c>
      <c r="C287" s="3" t="n">
        <v>46213</v>
      </c>
      <c r="D287" s="4" t="n">
        <f t="shared" si="44"/>
        <v>11</v>
      </c>
      <c r="E287" s="5" t="n">
        <v>5970033.6909381403</v>
      </c>
      <c r="F287" s="6" t="n">
        <v>29.201748332183101</v>
      </c>
      <c r="G287" s="7" t="n">
        <v>12439529.7877197</v>
      </c>
      <c r="H287" s="8" t="n">
        <v>60.846560846560799</v>
      </c>
      <c r="I287" s="14" t="str">
        <f>=HYPERLINK("https://ucloud.univie.ac.at/index.php/f/1556102548","Open Cytogram")</f>
      </c>
      <c r="J287" s="9" t="s">
        <v>314</v>
      </c>
      <c r="K287" t="s">
        <v>14</v>
      </c>
      <c r="L287" t="s">
        <v>314</v>
      </c>
      <c r="M287" t="s">
        <v>72</v>
      </c>
    </row>
    <row r="288" ht="15.75" customHeight="1">
      <c r="A288" s="17" t="s">
        <v>314</v>
      </c>
      <c r="B288" s="18" t="n">
        <v>46231</v>
      </c>
      <c r="C288" s="18" t="n">
        <v>46213</v>
      </c>
      <c r="D288" s="19" t="n">
        <f t="shared" si="44"/>
        <v>18</v>
      </c>
      <c r="E288" s="20" t="n">
        <v>6163724.2040591398</v>
      </c>
      <c r="F288" s="21" t="n">
        <v>42.7864436509428</v>
      </c>
      <c r="G288" s="22" t="n">
        <v>6083406.27519219</v>
      </c>
      <c r="H288" s="23" t="n">
        <v>42.228904341289201</v>
      </c>
      <c r="I288" s="24" t="str">
        <f>=HYPERLINK("https://ucloud.univie.ac.at/index.php/f/1563062920","Open Cytogram")</f>
      </c>
      <c r="J288" s="15" t="s">
        <v>314</v>
      </c>
      <c r="K288" s="16" t="s">
        <v>14</v>
      </c>
      <c r="L288" s="16" t="s">
        <v>314</v>
      </c>
      <c r="M288" s="16" t="s">
        <v>78</v>
      </c>
    </row>
    <row r="289" ht="15.75" customHeight="1">
      <c r="A289" s="2" t="s">
        <v>138</v>
      </c>
      <c r="B289" s="3" t="n">
        <v>46224</v>
      </c>
      <c r="C289" s="3" t="n">
        <v>46213</v>
      </c>
      <c r="D289" s="4" t="n">
        <f t="shared" si="44"/>
        <v>11</v>
      </c>
      <c r="E289" s="5" t="n">
        <v>5056403.8873994602</v>
      </c>
      <c r="F289" s="6" t="n">
        <v>31.468351166688201</v>
      </c>
      <c r="G289" s="7" t="n">
        <v>9261442.7613941003</v>
      </c>
      <c r="H289" s="8" t="n">
        <v>57.638262214773697</v>
      </c>
      <c r="I289" s="14" t="str">
        <f>=HYPERLINK("https://ucloud.univie.ac.at/index.php/f/1556102548","Open Cytogram")</f>
      </c>
      <c r="J289" s="9" t="s">
        <v>314</v>
      </c>
      <c r="K289" t="s">
        <v>14</v>
      </c>
      <c r="L289" t="s">
        <v>314</v>
      </c>
      <c r="M289" t="s">
        <v>72</v>
      </c>
    </row>
    <row r="290" ht="15.75" customHeight="1">
      <c r="A290" s="17" t="s">
        <v>314</v>
      </c>
      <c r="B290" s="18" t="n">
        <v>46231</v>
      </c>
      <c r="C290" s="18" t="n">
        <v>46213</v>
      </c>
      <c r="D290" s="19" t="n">
        <f t="shared" si="44"/>
        <v>18</v>
      </c>
      <c r="E290" s="20" t="n">
        <v>5930892.4552088799</v>
      </c>
      <c r="F290" s="21" t="n">
        <v>37.4985735478717</v>
      </c>
      <c r="G290" s="22" t="n">
        <v>7841376.2238755301</v>
      </c>
      <c r="H290" s="23" t="n">
        <v>49.577770170033098</v>
      </c>
      <c r="I290" s="24" t="str">
        <f>=HYPERLINK("https://ucloud.univie.ac.at/index.php/f/1563062920","Open Cytogram")</f>
      </c>
      <c r="J290" s="15" t="s">
        <v>314</v>
      </c>
      <c r="K290" s="16" t="s">
        <v>14</v>
      </c>
      <c r="L290" s="16" t="s">
        <v>314</v>
      </c>
      <c r="M290" s="16" t="s">
        <v>78</v>
      </c>
    </row>
    <row r="291" ht="16.5" customHeight="1">
      <c r="A291" s="17" t="s">
        <v>139</v>
      </c>
      <c r="B291" s="18" t="n">
        <v>46238</v>
      </c>
      <c r="C291" s="18" t="n">
        <v>46227</v>
      </c>
      <c r="D291" s="19" t="n">
        <f t="shared" si="44"/>
        <v>11</v>
      </c>
      <c r="E291" s="20" t="n">
        <v>6810129.5492119398</v>
      </c>
      <c r="F291" s="21" t="n">
        <v>35.182314275083698</v>
      </c>
      <c r="G291" s="22" t="n">
        <v>10085257.508148201</v>
      </c>
      <c r="H291" s="23" t="n">
        <v>52.102195212700003</v>
      </c>
      <c r="I291" s="24" t="str">
        <f>=HYPERLINK("https://ucloud.univie.ac.at/index.php/f/1567854609","Open Cytogram")</f>
      </c>
      <c r="J291" s="15" t="s">
        <v>314</v>
      </c>
      <c r="K291" s="25" t="s">
        <v>14</v>
      </c>
      <c r="L291" s="25" t="s">
        <v>314</v>
      </c>
      <c r="M291" s="25" t="s">
        <v>49</v>
      </c>
    </row>
    <row r="292">
      <c r="A292" s="17" t="s">
        <v>140</v>
      </c>
      <c r="B292" s="18" t="n">
        <v>46238</v>
      </c>
      <c r="C292" s="18" t="n">
        <v>46227</v>
      </c>
      <c r="D292" s="19" t="n">
        <f t="shared" si="44"/>
        <v>11</v>
      </c>
      <c r="E292" s="20" t="n">
        <v>5356517.6898490004</v>
      </c>
      <c r="F292" s="21" t="n">
        <v>43.072245547994797</v>
      </c>
      <c r="G292" s="22" t="n">
        <v>5001217.0206735795</v>
      </c>
      <c r="H292" s="23" t="n">
        <v>40.215240577192198</v>
      </c>
      <c r="I292" s="24" t="str">
        <f>=HYPERLINK("https://ucloud.univie.ac.at/index.php/f/1567854609","Open Cytogram")</f>
      </c>
      <c r="J292" s="24" t="str">
        <f>=HYPERLINK("https://ucloud.univie.ac.at/index.php/f/1568321929","Open Microscopy")</f>
      </c>
      <c r="K292" s="26" t="s">
        <v>141</v>
      </c>
      <c r="L292" s="16" t="s">
        <v>314</v>
      </c>
      <c r="M292" s="16" t="s">
        <v>49</v>
      </c>
    </row>
    <row r="293">
      <c r="A293" s="2" t="s">
        <v>142</v>
      </c>
      <c r="B293" s="3" t="n">
        <v>46142</v>
      </c>
      <c r="C293" s="3" t="n">
        <v>46136</v>
      </c>
      <c r="D293" s="4" t="n">
        <f t="shared" si="44"/>
        <v>6</v>
      </c>
      <c r="E293" s="5" t="n">
        <v>71191.266966140407</v>
      </c>
      <c r="F293" s="6" t="n">
        <v>40.092165898617502</v>
      </c>
      <c r="G293" s="7" t="n">
        <v>34163.625239498397</v>
      </c>
      <c r="H293" s="8" t="n">
        <v>19.239631336405498</v>
      </c>
      <c r="I293" s="14" t="str">
        <f>=HYPERLINK("https://ucloud.univie.ac.at/index.php/f/1514655988","Open Cytogram")</f>
      </c>
      <c r="J293" s="9" t="s">
        <v>314</v>
      </c>
      <c r="K293" t="s">
        <v>14</v>
      </c>
      <c r="L293" t="s">
        <v>314</v>
      </c>
      <c r="M293" t="s">
        <v>15</v>
      </c>
    </row>
    <row r="294">
      <c r="A294" s="2" t="s">
        <v>314</v>
      </c>
      <c r="B294" s="3" t="n">
        <v>46153</v>
      </c>
      <c r="C294" s="3" t="n">
        <v>46147</v>
      </c>
      <c r="D294" s="4" t="n">
        <f t="shared" si="44"/>
        <v>6</v>
      </c>
      <c r="E294" s="5" t="n">
        <v>882730.79585889599</v>
      </c>
      <c r="F294" s="6" t="n">
        <v>62.006035349906597</v>
      </c>
      <c r="G294" s="7" t="n">
        <v>268194.686760374</v>
      </c>
      <c r="H294" s="8" t="n">
        <v>18.838913637016802</v>
      </c>
      <c r="I294" s="14" t="str">
        <f>=HYPERLINK("https://ucloud.univie.ac.at/index.php/f/1514655988","Open Cytogram")</f>
      </c>
      <c r="J294" s="9" t="s">
        <v>314</v>
      </c>
      <c r="K294" s="10" t="s">
        <v>14</v>
      </c>
      <c r="L294" s="10" t="s">
        <v>314</v>
      </c>
      <c r="M294" s="10" t="s">
        <v>15</v>
      </c>
    </row>
    <row r="295">
      <c r="A295" s="17" t="s">
        <v>314</v>
      </c>
      <c r="B295" s="18" t="n">
        <v>46160</v>
      </c>
      <c r="C295" s="18" t="n">
        <v>46147</v>
      </c>
      <c r="D295" s="19" t="n">
        <f t="shared" si="44"/>
        <v>13</v>
      </c>
      <c r="E295" s="20" t="n">
        <v>1177147.56871036</v>
      </c>
      <c r="F295" s="21" t="n">
        <v>33.496468213925297</v>
      </c>
      <c r="G295" s="22" t="n">
        <v>595754.75687103404</v>
      </c>
      <c r="H295" s="23" t="n">
        <v>16.9525731584258</v>
      </c>
      <c r="I295" s="24" t="str">
        <f>=HYPERLINK("https://ucloud.univie.ac.at/index.php/f/1515117518","Open Cytogram")</f>
      </c>
      <c r="J295" s="15" t="s">
        <v>314</v>
      </c>
      <c r="K295" s="25" t="s">
        <v>14</v>
      </c>
      <c r="L295" s="25" t="s">
        <v>314</v>
      </c>
      <c r="M295" s="25" t="s">
        <v>86</v>
      </c>
    </row>
    <row r="296">
      <c r="A296" s="2" t="s">
        <v>143</v>
      </c>
      <c r="B296" s="3" t="n">
        <v>46142</v>
      </c>
      <c r="C296" s="3" t="n">
        <v>46136</v>
      </c>
      <c r="D296" s="4" t="n">
        <f t="shared" si="44"/>
        <v>6</v>
      </c>
      <c r="E296" s="5" t="n">
        <v>94307.971469513606</v>
      </c>
      <c r="F296" s="6" t="n">
        <v>19.296776894097899</v>
      </c>
      <c r="G296" s="7" t="n">
        <v>68940.968297670406</v>
      </c>
      <c r="H296" s="8" t="n">
        <v>14.1063206362495</v>
      </c>
      <c r="I296" s="14" t="str">
        <f>=HYPERLINK("https://ucloud.univie.ac.at/index.php/f/1514655988","Open Cytogram")</f>
      </c>
      <c r="J296" s="9" t="s">
        <v>314</v>
      </c>
      <c r="K296" s="10" t="s">
        <v>14</v>
      </c>
      <c r="L296" s="10" t="s">
        <v>314</v>
      </c>
      <c r="M296" s="10" t="s">
        <v>15</v>
      </c>
    </row>
    <row r="297">
      <c r="A297" s="2" t="s">
        <v>314</v>
      </c>
      <c r="B297" s="3" t="n">
        <v>46153</v>
      </c>
      <c r="C297" s="3" t="n">
        <v>46147</v>
      </c>
      <c r="D297" s="4" t="n">
        <f t="shared" si="44"/>
        <v>6</v>
      </c>
      <c r="E297" s="5" t="n">
        <v>91239.382376145397</v>
      </c>
      <c r="F297" s="6" t="n">
        <v>35.68</v>
      </c>
      <c r="G297" s="7" t="n">
        <v>54825.458468177101</v>
      </c>
      <c r="H297" s="8" t="n">
        <v>21.440000000000001</v>
      </c>
      <c r="I297" s="14" t="str">
        <f>=HYPERLINK("https://ucloud.univie.ac.at/index.php/f/1514655988","Open Cytogram")</f>
      </c>
      <c r="J297" s="9" t="s">
        <v>314</v>
      </c>
      <c r="K297" t="s">
        <v>14</v>
      </c>
      <c r="L297" t="s">
        <v>314</v>
      </c>
      <c r="M297" t="s">
        <v>15</v>
      </c>
    </row>
    <row r="298">
      <c r="A298" s="17" t="s">
        <v>314</v>
      </c>
      <c r="B298" s="18" t="n">
        <v>46160</v>
      </c>
      <c r="C298" s="18" t="n">
        <v>46147</v>
      </c>
      <c r="D298" s="19" t="n">
        <f t="shared" si="44"/>
        <v>13</v>
      </c>
      <c r="E298" s="20" t="n">
        <v>309867.562596709</v>
      </c>
      <c r="F298" s="21" t="n">
        <v>29.255395169358302</v>
      </c>
      <c r="G298" s="22" t="n">
        <v>448074.24781937402</v>
      </c>
      <c r="H298" s="23" t="n">
        <v>42.303844504787797</v>
      </c>
      <c r="I298" s="24" t="str">
        <f>=HYPERLINK("https://ucloud.univie.ac.at/index.php/f/1515117518","Open Cytogram")</f>
      </c>
      <c r="J298" s="15" t="s">
        <v>314</v>
      </c>
      <c r="K298" s="16" t="s">
        <v>14</v>
      </c>
      <c r="L298" s="16" t="s">
        <v>314</v>
      </c>
      <c r="M298" s="16" t="s">
        <v>86</v>
      </c>
    </row>
    <row r="299">
      <c r="A299" s="2" t="s">
        <v>144</v>
      </c>
      <c r="B299" s="3" t="n">
        <v>46142</v>
      </c>
      <c r="C299" s="3" t="n">
        <v>46136</v>
      </c>
      <c r="D299" s="4" t="n">
        <f t="shared" si="44"/>
        <v>6</v>
      </c>
      <c r="E299" s="5" t="n">
        <v>595101.71150719095</v>
      </c>
      <c r="F299" s="6" t="n">
        <v>37.632600258732197</v>
      </c>
      <c r="G299" s="7" t="n">
        <v>179614.74826514701</v>
      </c>
      <c r="H299" s="8" t="n">
        <v>11.3583441138422</v>
      </c>
      <c r="I299" s="14" t="str">
        <f>=HYPERLINK("https://ucloud.univie.ac.at/index.php/f/1514655988","Open Cytogram")</f>
      </c>
      <c r="J299" s="9" t="s">
        <v>314</v>
      </c>
      <c r="K299" t="s">
        <v>14</v>
      </c>
      <c r="L299" t="s">
        <v>314</v>
      </c>
      <c r="M299" t="s">
        <v>15</v>
      </c>
    </row>
    <row r="300">
      <c r="A300" s="17" t="s">
        <v>314</v>
      </c>
      <c r="B300" s="18" t="n">
        <v>46153</v>
      </c>
      <c r="C300" s="18" t="n">
        <v>46136</v>
      </c>
      <c r="D300" s="19" t="n">
        <f t="shared" si="44"/>
        <v>17</v>
      </c>
      <c r="E300" s="20" t="n">
        <v>813176.10974255204</v>
      </c>
      <c r="F300" s="21" t="n">
        <v>47.559224694903101</v>
      </c>
      <c r="G300" s="22" t="n">
        <v>440035.67598898802</v>
      </c>
      <c r="H300" s="23" t="n">
        <v>25.735821966977799</v>
      </c>
      <c r="I300" s="24" t="str">
        <f>=HYPERLINK("https://ucloud.univie.ac.at/index.php/f/1514655988","Open Cytogram")</f>
      </c>
      <c r="J300" s="15" t="s">
        <v>314</v>
      </c>
      <c r="K300" s="16" t="s">
        <v>14</v>
      </c>
      <c r="L300" s="16" t="s">
        <v>314</v>
      </c>
      <c r="M300" s="16" t="s">
        <v>15</v>
      </c>
    </row>
    <row r="301">
      <c r="A301" s="2" t="s">
        <v>145</v>
      </c>
      <c r="B301" s="3" t="n">
        <v>46142</v>
      </c>
      <c r="C301" s="3" t="n">
        <v>46136</v>
      </c>
      <c r="D301" s="4" t="n">
        <f t="shared" si="44"/>
        <v>6</v>
      </c>
      <c r="E301" s="5" t="n">
        <v>43573.965125827301</v>
      </c>
      <c r="F301" s="6" t="n">
        <v>25.943970767356902</v>
      </c>
      <c r="G301" s="7" t="n">
        <v>48688.280281440799</v>
      </c>
      <c r="H301" s="8" t="n">
        <v>28.989037758830701</v>
      </c>
      <c r="I301" s="14" t="str">
        <f>=HYPERLINK("https://ucloud.univie.ac.at/index.php/f/1514655988","Open Cytogram")</f>
      </c>
      <c r="J301" s="9" t="s">
        <v>314</v>
      </c>
      <c r="K301" t="s">
        <v>14</v>
      </c>
      <c r="L301" t="s">
        <v>314</v>
      </c>
      <c r="M301" t="s">
        <v>15</v>
      </c>
    </row>
    <row r="302">
      <c r="A302" s="2" t="s">
        <v>314</v>
      </c>
      <c r="B302" s="3" t="n">
        <v>46153</v>
      </c>
      <c r="C302" s="3" t="n">
        <v>46149</v>
      </c>
      <c r="D302" s="4" t="n">
        <f t="shared" si="44"/>
        <v>4</v>
      </c>
      <c r="E302" s="5" t="n">
        <v>89807.374132573605</v>
      </c>
      <c r="F302" s="6" t="n">
        <v>35.807504078303403</v>
      </c>
      <c r="G302" s="7" t="n">
        <v>102286.30311227099</v>
      </c>
      <c r="H302" s="8" t="n">
        <v>40.783034257748803</v>
      </c>
      <c r="I302" s="14" t="str">
        <f>=HYPERLINK("https://ucloud.univie.ac.at/index.php/f/1514655988","Open Cytogram")</f>
      </c>
      <c r="J302" s="9" t="s">
        <v>314</v>
      </c>
      <c r="K302" s="10" t="s">
        <v>14</v>
      </c>
      <c r="L302" s="10" t="s">
        <v>314</v>
      </c>
      <c r="M302" s="10" t="s">
        <v>15</v>
      </c>
    </row>
    <row r="303">
      <c r="A303" s="17" t="s">
        <v>314</v>
      </c>
      <c r="B303" s="18" t="n">
        <v>46160</v>
      </c>
      <c r="C303" s="18" t="n">
        <v>46149</v>
      </c>
      <c r="D303" s="19" t="n">
        <f t="shared" si="44"/>
        <v>11</v>
      </c>
      <c r="E303" s="20" t="n">
        <v>381241.55173415202</v>
      </c>
      <c r="F303" s="21" t="n">
        <v>39.5524146054181</v>
      </c>
      <c r="G303" s="22" t="n">
        <v>285495.95654977602</v>
      </c>
      <c r="H303" s="23" t="n">
        <v>29.6191597958382</v>
      </c>
      <c r="I303" s="24" t="str">
        <f>=HYPERLINK("https://ucloud.univie.ac.at/index.php/f/1515117518","Open Cytogram")</f>
      </c>
      <c r="J303" s="15" t="s">
        <v>314</v>
      </c>
      <c r="K303" s="25" t="s">
        <v>14</v>
      </c>
      <c r="L303" s="25" t="s">
        <v>314</v>
      </c>
      <c r="M303" s="25" t="s">
        <v>86</v>
      </c>
    </row>
    <row r="304">
      <c r="A304" s="2" t="s">
        <v>146</v>
      </c>
      <c r="B304" s="3" t="n">
        <v>46181</v>
      </c>
      <c r="C304" s="3" t="n">
        <v>46174</v>
      </c>
      <c r="D304" s="4" t="n">
        <f t="shared" si="44"/>
        <v>7</v>
      </c>
      <c r="E304" s="5" t="n">
        <v>431960.82733832003</v>
      </c>
      <c r="F304" s="6" t="n">
        <v>25.9377425196171</v>
      </c>
      <c r="G304" s="7" t="n">
        <v>817824.77117411303</v>
      </c>
      <c r="H304" s="8" t="n">
        <v>49.107527808916103</v>
      </c>
      <c r="I304" s="14" t="str">
        <f>=HYPERLINK("https://ucloud.univie.ac.at/index.php/f/1518571338","Open Cytogram")</f>
      </c>
      <c r="J304" s="9" t="s">
        <v>314</v>
      </c>
      <c r="K304" s="10" t="s">
        <v>14</v>
      </c>
      <c r="L304" s="10" t="s">
        <v>314</v>
      </c>
      <c r="M304" s="10" t="s">
        <v>24</v>
      </c>
    </row>
    <row r="305">
      <c r="A305" s="2" t="s">
        <v>314</v>
      </c>
      <c r="B305" s="3" t="n">
        <v>46188</v>
      </c>
      <c r="C305" s="3" t="n">
        <v>46174</v>
      </c>
      <c r="D305" s="4" t="n">
        <f t="shared" si="44"/>
        <v>14</v>
      </c>
      <c r="E305" s="5" t="n">
        <v>344920.228435634</v>
      </c>
      <c r="F305" s="6" t="n">
        <v>14.4988222978278</v>
      </c>
      <c r="G305" s="7" t="n">
        <v>1276329.3651499101</v>
      </c>
      <c r="H305" s="8" t="n">
        <v>53.650876733839297</v>
      </c>
      <c r="I305" s="14" t="str">
        <f>=HYPERLINK("https://ucloud.univie.ac.at/index.php/f/1525440401","Open Cytogram")</f>
      </c>
      <c r="J305" s="9" t="s">
        <v>314</v>
      </c>
      <c r="K305" t="s">
        <v>14</v>
      </c>
      <c r="L305" t="s">
        <v>314</v>
      </c>
      <c r="M305" t="s">
        <v>28</v>
      </c>
    </row>
    <row r="306">
      <c r="A306" s="17" t="s">
        <v>314</v>
      </c>
      <c r="B306" s="18" t="n">
        <v>46196</v>
      </c>
      <c r="C306" s="18" t="n">
        <v>46174</v>
      </c>
      <c r="D306" s="19" t="n">
        <f t="shared" si="44"/>
        <v>22</v>
      </c>
      <c r="E306" s="20" t="n">
        <v>0</v>
      </c>
      <c r="F306" s="21" t="n">
        <v>0</v>
      </c>
      <c r="G306" s="22" t="n">
        <v>10107.3649320517</v>
      </c>
      <c r="H306" s="23" t="n">
        <v>3.13390313390317</v>
      </c>
      <c r="I306" s="24" t="str">
        <f>=HYPERLINK("https://ucloud.univie.ac.at/index.php/f/1537345531","Open Cytogram")</f>
      </c>
      <c r="J306" s="15" t="s">
        <v>314</v>
      </c>
      <c r="K306" s="16" t="s">
        <v>14</v>
      </c>
      <c r="L306" s="16" t="s">
        <v>314</v>
      </c>
      <c r="M306" s="16" t="s">
        <v>35</v>
      </c>
    </row>
    <row r="307">
      <c r="A307" s="2" t="s">
        <v>147</v>
      </c>
      <c r="B307" s="3" t="n">
        <v>46181</v>
      </c>
      <c r="C307" s="3" t="n">
        <v>46174</v>
      </c>
      <c r="D307" s="4" t="n">
        <f t="shared" si="44"/>
        <v>7</v>
      </c>
      <c r="E307" s="5" t="n">
        <v>266098.20912829402</v>
      </c>
      <c r="F307" s="6" t="n">
        <v>26.851180988262598</v>
      </c>
      <c r="G307" s="7" t="n">
        <v>491269.27869826899</v>
      </c>
      <c r="H307" s="8" t="n">
        <v>49.572525720910001</v>
      </c>
      <c r="I307" s="14" t="str">
        <f>=HYPERLINK("https://ucloud.univie.ac.at/index.php/f/1518571338","Open Cytogram")</f>
      </c>
      <c r="J307" s="9" t="s">
        <v>314</v>
      </c>
      <c r="K307" t="s">
        <v>14</v>
      </c>
      <c r="L307" t="s">
        <v>314</v>
      </c>
      <c r="M307" t="s">
        <v>24</v>
      </c>
    </row>
    <row r="308">
      <c r="A308" s="2" t="s">
        <v>314</v>
      </c>
      <c r="B308" s="3" t="n">
        <v>46188</v>
      </c>
      <c r="C308" s="3" t="n">
        <v>46174</v>
      </c>
      <c r="D308" s="4" t="n">
        <f t="shared" si="44"/>
        <v>14</v>
      </c>
      <c r="E308" s="5" t="n">
        <v>1540509.4881481801</v>
      </c>
      <c r="F308" s="6" t="n">
        <v>17.257978249242299</v>
      </c>
      <c r="G308" s="7" t="n">
        <v>6566580.8367737802</v>
      </c>
      <c r="H308" s="8" t="n">
        <v>73.563915136387905</v>
      </c>
      <c r="I308" s="14" t="str">
        <f>=HYPERLINK("https://ucloud.univie.ac.at/index.php/f/1525440401","Open Cytogram")</f>
      </c>
      <c r="J308" s="9" t="s">
        <v>314</v>
      </c>
      <c r="K308" s="10" t="s">
        <v>14</v>
      </c>
      <c r="L308" s="10" t="s">
        <v>314</v>
      </c>
      <c r="M308" s="10" t="s">
        <v>28</v>
      </c>
    </row>
    <row r="309">
      <c r="A309" s="17" t="s">
        <v>314</v>
      </c>
      <c r="B309" s="18" t="n">
        <v>46196</v>
      </c>
      <c r="C309" s="18" t="n">
        <v>46174</v>
      </c>
      <c r="D309" s="19" t="n">
        <f t="shared" si="44"/>
        <v>22</v>
      </c>
      <c r="E309" s="20" t="n">
        <v>2034361.9597348699</v>
      </c>
      <c r="F309" s="21" t="n">
        <v>19.641724793912498</v>
      </c>
      <c r="G309" s="22" t="n">
        <v>7159673.3861371102</v>
      </c>
      <c r="H309" s="23" t="n">
        <v>69.1265060240964</v>
      </c>
      <c r="I309" s="24" t="str">
        <f>=HYPERLINK("https://ucloud.univie.ac.at/index.php/f/1543012007","Open Cytogram")</f>
      </c>
      <c r="J309" s="15" t="s">
        <v>314</v>
      </c>
      <c r="K309" s="25" t="s">
        <v>14</v>
      </c>
      <c r="L309" s="25" t="s">
        <v>314</v>
      </c>
      <c r="M309" s="25" t="s">
        <v>46</v>
      </c>
    </row>
    <row r="310">
      <c r="A310" s="2" t="s">
        <v>148</v>
      </c>
      <c r="B310" s="3" t="n">
        <v>46181</v>
      </c>
      <c r="C310" s="3" t="n">
        <v>46174</v>
      </c>
      <c r="D310" s="4" t="n">
        <f t="shared" si="44"/>
        <v>7</v>
      </c>
      <c r="E310" s="5" t="n">
        <v>57513.4013753123</v>
      </c>
      <c r="F310" s="6" t="n">
        <v>39.970059880239504</v>
      </c>
      <c r="G310" s="7" t="n">
        <v>34895.771620975996</v>
      </c>
      <c r="H310" s="8" t="n">
        <v>24.251497005988</v>
      </c>
      <c r="I310" s="14" t="str">
        <f>=HYPERLINK("https://ucloud.univie.ac.at/index.php/f/1518571338","Open Cytogram")</f>
      </c>
      <c r="J310" s="9" t="s">
        <v>314</v>
      </c>
      <c r="K310" s="10" t="s">
        <v>14</v>
      </c>
      <c r="L310" s="10" t="s">
        <v>314</v>
      </c>
      <c r="M310" s="10" t="s">
        <v>24</v>
      </c>
    </row>
    <row r="311">
      <c r="A311" s="2" t="s">
        <v>314</v>
      </c>
      <c r="B311" s="3" t="n">
        <v>46188</v>
      </c>
      <c r="C311" s="3" t="n">
        <v>46174</v>
      </c>
      <c r="D311" s="4" t="n">
        <f t="shared" si="44"/>
        <v>14</v>
      </c>
      <c r="E311" s="5" t="n">
        <v>155293.6383887</v>
      </c>
      <c r="F311" s="6" t="n">
        <v>42.787152966793698</v>
      </c>
      <c r="G311" s="7" t="n">
        <v>144427.03519356201</v>
      </c>
      <c r="H311" s="8" t="n">
        <v>39.793140990745798</v>
      </c>
      <c r="I311" s="14" t="str">
        <f>=HYPERLINK("https://ucloud.univie.ac.at/index.php/f/1525440401","Open Cytogram")</f>
      </c>
      <c r="J311" s="9" t="s">
        <v>314</v>
      </c>
      <c r="K311" t="s">
        <v>14</v>
      </c>
      <c r="L311" t="s">
        <v>314</v>
      </c>
      <c r="M311" t="s">
        <v>28</v>
      </c>
    </row>
    <row r="312">
      <c r="A312" s="17" t="s">
        <v>314</v>
      </c>
      <c r="B312" s="18" t="n">
        <v>46196</v>
      </c>
      <c r="C312" s="18" t="n">
        <v>46174</v>
      </c>
      <c r="D312" s="19" t="n">
        <f t="shared" si="44"/>
        <v>22</v>
      </c>
      <c r="E312" s="20" t="n">
        <v>96793.366881422495</v>
      </c>
      <c r="F312" s="21" t="n">
        <v>27.9750292625829</v>
      </c>
      <c r="G312" s="22" t="n">
        <v>99223.325882629695</v>
      </c>
      <c r="H312" s="23" t="n">
        <v>28.677331252438499</v>
      </c>
      <c r="I312" s="24" t="str">
        <f>=HYPERLINK("https://ucloud.univie.ac.at/index.php/f/1543012007","Open Cytogram")</f>
      </c>
      <c r="J312" s="15" t="s">
        <v>314</v>
      </c>
      <c r="K312" s="16" t="s">
        <v>14</v>
      </c>
      <c r="L312" s="16" t="s">
        <v>314</v>
      </c>
      <c r="M312" s="16" t="s">
        <v>46</v>
      </c>
    </row>
    <row r="313">
      <c r="A313" s="2" t="s">
        <v>149</v>
      </c>
      <c r="B313" s="3" t="n">
        <v>46204</v>
      </c>
      <c r="C313" s="3" t="n">
        <v>46197</v>
      </c>
      <c r="D313" s="4" t="n">
        <f t="shared" si="44"/>
        <v>7</v>
      </c>
      <c r="E313" s="5" t="n">
        <v>2474401.5119616198</v>
      </c>
      <c r="F313" s="6" t="n">
        <v>30.192333377855</v>
      </c>
      <c r="G313" s="7" t="n">
        <v>4164503.6727529201</v>
      </c>
      <c r="H313" s="8" t="n">
        <v>50.814745558968902</v>
      </c>
      <c r="I313" s="14" t="str">
        <f>=HYPERLINK("https://ucloud.univie.ac.at/index.php/f/1543012007","Open Cytogram")</f>
      </c>
      <c r="J313" s="9" t="s">
        <v>314</v>
      </c>
      <c r="K313" t="s">
        <v>14</v>
      </c>
      <c r="L313" t="s">
        <v>314</v>
      </c>
      <c r="M313" t="s">
        <v>46</v>
      </c>
    </row>
    <row r="314">
      <c r="A314" s="2" t="s">
        <v>314</v>
      </c>
      <c r="B314" s="3" t="n">
        <v>46211</v>
      </c>
      <c r="C314" s="3" t="n">
        <v>46197</v>
      </c>
      <c r="D314" s="4" t="n">
        <f t="shared" si="44"/>
        <v>14</v>
      </c>
      <c r="E314" s="5" t="n">
        <v>1129808.0063732299</v>
      </c>
      <c r="F314" s="6" t="n">
        <v>20.602605863192199</v>
      </c>
      <c r="G314" s="7" t="n">
        <v>1799208.08603864</v>
      </c>
      <c r="H314" s="8" t="n">
        <v>32.809446254071702</v>
      </c>
      <c r="I314" s="14" t="str">
        <f>=HYPERLINK("https://ucloud.univie.ac.at/index.php/f/1547933978","Open Cytogram")</f>
      </c>
      <c r="J314" s="9" t="s">
        <v>314</v>
      </c>
      <c r="K314" s="10" t="s">
        <v>14</v>
      </c>
      <c r="L314" s="10" t="s">
        <v>314</v>
      </c>
      <c r="M314" s="10" t="s">
        <v>36</v>
      </c>
    </row>
    <row r="315">
      <c r="A315" s="17" t="s">
        <v>314</v>
      </c>
      <c r="B315" s="18" t="n">
        <v>46218</v>
      </c>
      <c r="C315" s="18" t="n">
        <v>46197</v>
      </c>
      <c r="D315" s="19" t="n">
        <f t="shared" si="44"/>
        <v>21</v>
      </c>
      <c r="E315" s="20" t="n">
        <v>2049422.93670159</v>
      </c>
      <c r="F315" s="21" t="n">
        <v>14.193375830250099</v>
      </c>
      <c r="G315" s="22" t="n">
        <v>8638600.8899095599</v>
      </c>
      <c r="H315" s="23" t="n">
        <v>59.827040520661498</v>
      </c>
      <c r="I315" s="24" t="str">
        <f>=HYPERLINK("https://ucloud.univie.ac.at/index.php/f/1552579218","Open Cytogram")</f>
      </c>
      <c r="J315" s="15" t="s">
        <v>314</v>
      </c>
      <c r="K315" s="25" t="s">
        <v>14</v>
      </c>
      <c r="L315" s="25" t="s">
        <v>314</v>
      </c>
      <c r="M315" s="25" t="s">
        <v>37</v>
      </c>
    </row>
    <row r="316">
      <c r="A316" s="2" t="s">
        <v>150</v>
      </c>
      <c r="B316" s="3" t="n">
        <v>46204</v>
      </c>
      <c r="C316" s="3" t="n">
        <v>46197</v>
      </c>
      <c r="D316" s="4" t="n">
        <f t="shared" si="44"/>
        <v>7</v>
      </c>
      <c r="E316" s="5" t="n">
        <v>318218.86306827998</v>
      </c>
      <c r="F316" s="6" t="n">
        <v>22.649955237242601</v>
      </c>
      <c r="G316" s="7" t="n">
        <v>865773.32310408202</v>
      </c>
      <c r="H316" s="8" t="n">
        <v>61.623396001193797</v>
      </c>
      <c r="I316" s="14" t="str">
        <f>=HYPERLINK("https://ucloud.univie.ac.at/index.php/f/1543012007","Open Cytogram")</f>
      </c>
      <c r="J316" s="9" t="s">
        <v>314</v>
      </c>
      <c r="K316" s="10" t="s">
        <v>14</v>
      </c>
      <c r="L316" s="10" t="s">
        <v>314</v>
      </c>
      <c r="M316" s="10" t="s">
        <v>46</v>
      </c>
    </row>
    <row r="317">
      <c r="A317" s="2" t="s">
        <v>314</v>
      </c>
      <c r="B317" s="3" t="n">
        <v>46211</v>
      </c>
      <c r="C317" s="3" t="n">
        <v>46197</v>
      </c>
      <c r="D317" s="4" t="n">
        <f t="shared" si="44"/>
        <v>14</v>
      </c>
      <c r="E317" s="5" t="n">
        <v>1722021.6549887401</v>
      </c>
      <c r="F317" s="6" t="n">
        <v>37.192622950819697</v>
      </c>
      <c r="G317" s="7" t="n">
        <v>2478193.1475650598</v>
      </c>
      <c r="H317" s="8" t="n">
        <v>53.524590163934398</v>
      </c>
      <c r="I317" s="14" t="str">
        <f>=HYPERLINK("https://ucloud.univie.ac.at/index.php/f/1547933978","Open Cytogram")</f>
      </c>
      <c r="J317" s="9" t="s">
        <v>314</v>
      </c>
      <c r="K317" t="s">
        <v>14</v>
      </c>
      <c r="L317" t="s">
        <v>314</v>
      </c>
      <c r="M317" t="s">
        <v>36</v>
      </c>
    </row>
    <row r="318">
      <c r="A318" s="17" t="s">
        <v>314</v>
      </c>
      <c r="B318" s="18" t="n">
        <v>46218</v>
      </c>
      <c r="C318" s="18" t="n">
        <v>46197</v>
      </c>
      <c r="D318" s="19" t="n">
        <f t="shared" si="44"/>
        <v>21</v>
      </c>
      <c r="E318" s="20" t="n">
        <v>975243.59085890197</v>
      </c>
      <c r="F318" s="21" t="n">
        <v>28.4756703078451</v>
      </c>
      <c r="G318" s="22" t="n">
        <v>2081426.60019406</v>
      </c>
      <c r="H318" s="23" t="n">
        <v>60.774577954319803</v>
      </c>
      <c r="I318" s="24" t="str">
        <f>=HYPERLINK("https://ucloud.univie.ac.at/index.php/f/1552579218","Open Cytogram")</f>
      </c>
      <c r="J318" s="15" t="s">
        <v>314</v>
      </c>
      <c r="K318" s="16" t="s">
        <v>14</v>
      </c>
      <c r="L318" s="16" t="s">
        <v>314</v>
      </c>
      <c r="M318" s="16" t="s">
        <v>37</v>
      </c>
    </row>
    <row r="319">
      <c r="A319" s="2" t="s">
        <v>151</v>
      </c>
      <c r="B319" s="3" t="n">
        <v>46204</v>
      </c>
      <c r="C319" s="3" t="n">
        <v>46197</v>
      </c>
      <c r="D319" s="4" t="n">
        <f t="shared" si="44"/>
        <v>7</v>
      </c>
      <c r="E319" s="5" t="n">
        <v>50489.148136195297</v>
      </c>
      <c r="F319" s="6" t="n">
        <v>28.057014253563398</v>
      </c>
      <c r="G319" s="7" t="n">
        <v>78298.678927789399</v>
      </c>
      <c r="H319" s="8" t="n">
        <v>43.5108777194298</v>
      </c>
      <c r="I319" s="14" t="str">
        <f>=HYPERLINK("https://ucloud.univie.ac.at/index.php/f/1543012007","Open Cytogram")</f>
      </c>
      <c r="J319" s="9" t="s">
        <v>314</v>
      </c>
      <c r="K319" t="s">
        <v>14</v>
      </c>
      <c r="L319" t="s">
        <v>314</v>
      </c>
      <c r="M319" t="s">
        <v>46</v>
      </c>
    </row>
    <row r="320">
      <c r="A320" s="2" t="s">
        <v>314</v>
      </c>
      <c r="B320" s="3" t="n">
        <v>46211</v>
      </c>
      <c r="C320" s="3" t="n">
        <v>46197</v>
      </c>
      <c r="D320" s="4" t="n">
        <f t="shared" si="44"/>
        <v>14</v>
      </c>
      <c r="E320" s="5" t="n">
        <v>32966.529598150599</v>
      </c>
      <c r="F320" s="6" t="n">
        <v>30.4990757855822</v>
      </c>
      <c r="G320" s="7" t="n">
        <v>43955.372797534197</v>
      </c>
      <c r="H320" s="8" t="n">
        <v>40.665434380776297</v>
      </c>
      <c r="I320" s="14" t="str">
        <f>=HYPERLINK("https://ucloud.univie.ac.at/index.php/f/1547933978","Open Cytogram")</f>
      </c>
      <c r="J320" s="9" t="s">
        <v>314</v>
      </c>
      <c r="K320" s="10" t="s">
        <v>14</v>
      </c>
      <c r="L320" s="10" t="s">
        <v>314</v>
      </c>
      <c r="M320" s="10" t="s">
        <v>36</v>
      </c>
    </row>
    <row r="321">
      <c r="A321" s="17" t="s">
        <v>314</v>
      </c>
      <c r="B321" s="18" t="n">
        <v>46218</v>
      </c>
      <c r="C321" s="18" t="n">
        <v>46197</v>
      </c>
      <c r="D321" s="19" t="n">
        <f t="shared" si="44"/>
        <v>21</v>
      </c>
      <c r="E321" s="20" t="n">
        <v>190801.93831618701</v>
      </c>
      <c r="F321" s="21" t="n">
        <v>32.634730538922199</v>
      </c>
      <c r="G321" s="22" t="n">
        <v>243181.58122726399</v>
      </c>
      <c r="H321" s="23" t="n">
        <v>41.5937356057117</v>
      </c>
      <c r="I321" s="24" t="str">
        <f>=HYPERLINK("https://ucloud.univie.ac.at/index.php/f/1552579218","Open Cytogram")</f>
      </c>
      <c r="J321" s="15" t="s">
        <v>314</v>
      </c>
      <c r="K321" s="25" t="s">
        <v>14</v>
      </c>
      <c r="L321" s="25" t="s">
        <v>314</v>
      </c>
      <c r="M321" s="25" t="s">
        <v>37</v>
      </c>
    </row>
    <row r="322">
      <c r="A322" s="2" t="s">
        <v>152</v>
      </c>
      <c r="B322" s="3" t="n">
        <v>46218</v>
      </c>
      <c r="C322" s="3"/>
      <c r="D322" s="4" t="str">
        <f t="shared" ref="D322:D361" si="54">IF(OR(C322="",B322=""),"",B322-C322)</f>
        <v/>
      </c>
      <c r="E322" s="5" t="n">
        <v>2354682.6489388901</v>
      </c>
      <c r="F322" s="6" t="n">
        <v>33.636532392797498</v>
      </c>
      <c r="G322" s="7" t="n">
        <v>3632084.9910508799</v>
      </c>
      <c r="H322" s="8" t="n">
        <v>51.884165583812901</v>
      </c>
      <c r="I322" s="14" t="str">
        <f>=HYPERLINK("https://ucloud.univie.ac.at/index.php/f/1557416265","Open Cytogram")</f>
      </c>
      <c r="J322" s="9" t="s">
        <v>314</v>
      </c>
      <c r="K322" s="10" t="s">
        <v>14</v>
      </c>
      <c r="L322" s="10" t="s">
        <v>314</v>
      </c>
      <c r="M322" s="10" t="s">
        <v>153</v>
      </c>
    </row>
    <row r="323">
      <c r="A323" s="2" t="s">
        <v>314</v>
      </c>
      <c r="B323" s="3" t="n">
        <v>46231</v>
      </c>
      <c r="C323" s="3"/>
      <c r="D323" s="4" t="str">
        <f t="shared" si="54"/>
        <v/>
      </c>
      <c r="E323" s="5" t="n">
        <v>3040711.9061006401</v>
      </c>
      <c r="F323" s="6" t="n">
        <v>13.0516027023142</v>
      </c>
      <c r="G323" s="7" t="n">
        <v>19285748.752459899</v>
      </c>
      <c r="H323" s="8" t="n">
        <v>82.779933879545794</v>
      </c>
      <c r="I323" s="14" t="str">
        <f>=HYPERLINK("https://ucloud.univie.ac.at/index.php/f/1563062920","Open Cytogram")</f>
      </c>
      <c r="J323" s="9" t="s">
        <v>314</v>
      </c>
      <c r="K323" t="s">
        <v>14</v>
      </c>
      <c r="L323" t="s">
        <v>314</v>
      </c>
      <c r="M323" t="s">
        <v>78</v>
      </c>
    </row>
    <row r="324">
      <c r="A324" s="17" t="s">
        <v>314</v>
      </c>
      <c r="B324" s="18" t="n">
        <v>46238</v>
      </c>
      <c r="C324" s="18"/>
      <c r="D324" s="19" t="str">
        <f t="shared" si="54"/>
        <v/>
      </c>
      <c r="E324" s="20" t="n">
        <v>802427.35589110502</v>
      </c>
      <c r="F324" s="21" t="n">
        <v>4.2024202420241998</v>
      </c>
      <c r="G324" s="22" t="n">
        <v>17871263.557494</v>
      </c>
      <c r="H324" s="23" t="n">
        <v>93.594216564513601</v>
      </c>
      <c r="I324" s="24" t="str">
        <f>=HYPERLINK("https://ucloud.univie.ac.at/index.php/f/1567854609","Open Cytogram")</f>
      </c>
      <c r="J324" s="15" t="s">
        <v>314</v>
      </c>
      <c r="K324" s="16" t="s">
        <v>14</v>
      </c>
      <c r="L324" s="16" t="s">
        <v>314</v>
      </c>
      <c r="M324" s="16" t="s">
        <v>49</v>
      </c>
    </row>
    <row r="325">
      <c r="A325" s="17" t="s">
        <v>154</v>
      </c>
      <c r="B325" s="18" t="n">
        <v>46218</v>
      </c>
      <c r="C325" s="18"/>
      <c r="D325" s="19" t="str">
        <f t="shared" si="54"/>
        <v/>
      </c>
      <c r="E325" s="20" t="n">
        <v>15514620.5775086</v>
      </c>
      <c r="F325" s="21" t="n">
        <v>51.007743270063997</v>
      </c>
      <c r="G325" s="22" t="n">
        <v>12070233.666811701</v>
      </c>
      <c r="H325" s="23" t="n">
        <v>39.683560226986799</v>
      </c>
      <c r="I325" s="24" t="str">
        <f>=HYPERLINK("https://ucloud.univie.ac.at/index.php/f/1557416265","Open Cytogram")</f>
      </c>
      <c r="J325" s="15" t="s">
        <v>314</v>
      </c>
      <c r="K325" s="25" t="s">
        <v>14</v>
      </c>
      <c r="L325" s="25" t="s">
        <v>314</v>
      </c>
      <c r="M325" s="25" t="s">
        <v>153</v>
      </c>
    </row>
    <row r="326">
      <c r="A326" s="17" t="s">
        <v>155</v>
      </c>
      <c r="B326" s="18" t="n">
        <v>46189</v>
      </c>
      <c r="C326" s="18"/>
      <c r="D326" s="19" t="str">
        <f t="shared" si="54"/>
        <v/>
      </c>
      <c r="E326" s="20" t="n">
        <v>419026.60826993198</v>
      </c>
      <c r="F326" s="21" t="n">
        <v>12.1918290678563</v>
      </c>
      <c r="G326" s="22" t="n">
        <v>1049684.85451539</v>
      </c>
      <c r="H326" s="23" t="n">
        <v>30.5412068560695</v>
      </c>
      <c r="I326" s="24" t="str">
        <f>=HYPERLINK("https://ucloud.univie.ac.at/index.php/f/1537345531","Open Cytogram")</f>
      </c>
      <c r="J326" s="15" t="s">
        <v>314</v>
      </c>
      <c r="K326" s="16" t="s">
        <v>14</v>
      </c>
      <c r="L326" s="16" t="s">
        <v>314</v>
      </c>
      <c r="M326" s="16" t="s">
        <v>35</v>
      </c>
    </row>
    <row r="327">
      <c r="A327" s="17" t="s">
        <v>156</v>
      </c>
      <c r="B327" s="18" t="n">
        <v>46189</v>
      </c>
      <c r="C327" s="18"/>
      <c r="D327" s="19" t="str">
        <f t="shared" si="54"/>
        <v/>
      </c>
      <c r="E327" s="20" t="n">
        <v>95224.149784982204</v>
      </c>
      <c r="F327" s="21" t="n">
        <v>9.1384317521781195</v>
      </c>
      <c r="G327" s="22" t="n">
        <v>396431.04730400402</v>
      </c>
      <c r="H327" s="23" t="n">
        <v>38.044530493707697</v>
      </c>
      <c r="I327" s="24" t="str">
        <f>=HYPERLINK("https://ucloud.univie.ac.at/index.php/f/1537345531","Open Cytogram")</f>
      </c>
      <c r="J327" s="15" t="s">
        <v>314</v>
      </c>
      <c r="K327" s="25" t="s">
        <v>14</v>
      </c>
      <c r="L327" s="25" t="s">
        <v>314</v>
      </c>
      <c r="M327" s="25" t="s">
        <v>35</v>
      </c>
    </row>
    <row r="328">
      <c r="A328" s="17" t="s">
        <v>157</v>
      </c>
      <c r="B328" s="18" t="n">
        <v>46189</v>
      </c>
      <c r="C328" s="18"/>
      <c r="D328" s="19" t="str">
        <f t="shared" si="54"/>
        <v/>
      </c>
      <c r="E328" s="20" t="n">
        <v>224745.13317896199</v>
      </c>
      <c r="F328" s="21" t="n">
        <v>10.848183854318799</v>
      </c>
      <c r="G328" s="22" t="n">
        <v>320776.267284156</v>
      </c>
      <c r="H328" s="23" t="n">
        <v>15.483494011101399</v>
      </c>
      <c r="I328" s="24" t="str">
        <f>=HYPERLINK("https://ucloud.univie.ac.at/index.php/f/1537345531","Open Cytogram")</f>
      </c>
      <c r="J328" s="15" t="s">
        <v>314</v>
      </c>
      <c r="K328" s="16" t="s">
        <v>14</v>
      </c>
      <c r="L328" s="16" t="s">
        <v>314</v>
      </c>
      <c r="M328" s="16" t="s">
        <v>35</v>
      </c>
    </row>
    <row r="329">
      <c r="A329" s="17" t="s">
        <v>158</v>
      </c>
      <c r="B329" s="18" t="n">
        <v>46195</v>
      </c>
      <c r="C329" s="18"/>
      <c r="D329" s="19" t="str">
        <f t="shared" si="54"/>
        <v/>
      </c>
      <c r="E329" s="20" t="n">
        <v>402281.68362553901</v>
      </c>
      <c r="F329" s="21" t="n">
        <v>10.3278603615269</v>
      </c>
      <c r="G329" s="22" t="n">
        <v>1236905.2168045</v>
      </c>
      <c r="H329" s="23" t="n">
        <v>31.7553219039727</v>
      </c>
      <c r="I329" s="24" t="str">
        <f>=HYPERLINK("https://ucloud.univie.ac.at/index.php/f/1537345531","Open Cytogram")</f>
      </c>
      <c r="J329" s="15" t="s">
        <v>314</v>
      </c>
      <c r="K329" s="25" t="s">
        <v>14</v>
      </c>
      <c r="L329" s="25" t="s">
        <v>314</v>
      </c>
      <c r="M329" s="25" t="s">
        <v>35</v>
      </c>
    </row>
    <row r="330">
      <c r="A330" s="17" t="s">
        <v>159</v>
      </c>
      <c r="B330" s="18" t="n">
        <v>46195</v>
      </c>
      <c r="C330" s="18"/>
      <c r="D330" s="19" t="str">
        <f t="shared" si="54"/>
        <v/>
      </c>
      <c r="E330" s="20" t="n">
        <v>174712.10532583599</v>
      </c>
      <c r="F330" s="21" t="n">
        <v>7.3024706973606497</v>
      </c>
      <c r="G330" s="22" t="n">
        <v>624202.37168375996</v>
      </c>
      <c r="H330" s="23" t="n">
        <v>26.089889535373999</v>
      </c>
      <c r="I330" s="24" t="str">
        <f>=HYPERLINK("https://ucloud.univie.ac.at/index.php/f/1537345531","Open Cytogram")</f>
      </c>
      <c r="J330" s="15" t="s">
        <v>314</v>
      </c>
      <c r="K330" s="16" t="s">
        <v>14</v>
      </c>
      <c r="L330" s="16" t="s">
        <v>314</v>
      </c>
      <c r="M330" s="16" t="s">
        <v>35</v>
      </c>
    </row>
    <row r="331">
      <c r="A331" s="2" t="s">
        <v>160</v>
      </c>
      <c r="B331" s="3" t="n">
        <v>46198</v>
      </c>
      <c r="C331" s="3" t="n">
        <v>46191</v>
      </c>
      <c r="D331" s="4" t="n">
        <f t="shared" si="54"/>
        <v>7</v>
      </c>
      <c r="E331" s="5" t="n">
        <v>4294074.0588413198</v>
      </c>
      <c r="F331" s="6" t="n">
        <v>33.528776423391399</v>
      </c>
      <c r="G331" s="7" t="n">
        <v>6305747.9621549305</v>
      </c>
      <c r="H331" s="8" t="n">
        <v>49.236228977009702</v>
      </c>
      <c r="I331" s="14" t="str">
        <f>=HYPERLINK("https://ucloud.univie.ac.at/index.php/f/1537345531","Open Cytogram")</f>
      </c>
      <c r="J331" s="9" t="s">
        <v>314</v>
      </c>
      <c r="K331" t="s">
        <v>14</v>
      </c>
      <c r="L331" t="s">
        <v>314</v>
      </c>
      <c r="M331" t="s">
        <v>35</v>
      </c>
    </row>
    <row r="332">
      <c r="A332" s="2" t="s">
        <v>314</v>
      </c>
      <c r="B332" s="3" t="n">
        <v>46205</v>
      </c>
      <c r="C332" s="3" t="n">
        <v>46191</v>
      </c>
      <c r="D332" s="4" t="n">
        <f t="shared" si="54"/>
        <v>14</v>
      </c>
      <c r="E332" s="5" t="n">
        <v>5787032.3050184697</v>
      </c>
      <c r="F332" s="6" t="n">
        <v>25.732609162600902</v>
      </c>
      <c r="G332" s="7" t="n">
        <v>15932626.0265045</v>
      </c>
      <c r="H332" s="8" t="n">
        <v>70.8459909785511</v>
      </c>
      <c r="I332" s="14" t="str">
        <f>=HYPERLINK("https://ucloud.univie.ac.at/index.php/f/1547933978","Open Cytogram")</f>
      </c>
      <c r="J332" s="9" t="s">
        <v>314</v>
      </c>
      <c r="K332" s="10" t="s">
        <v>14</v>
      </c>
      <c r="L332" s="10" t="s">
        <v>314</v>
      </c>
      <c r="M332" s="10" t="s">
        <v>36</v>
      </c>
    </row>
    <row r="333">
      <c r="A333" s="17" t="s">
        <v>314</v>
      </c>
      <c r="B333" s="18" t="n">
        <v>46212</v>
      </c>
      <c r="C333" s="18" t="n">
        <v>46191</v>
      </c>
      <c r="D333" s="19" t="n">
        <f t="shared" si="54"/>
        <v>21</v>
      </c>
      <c r="E333" s="20" t="n">
        <v>7714300.8468494201</v>
      </c>
      <c r="F333" s="21" t="n">
        <v>42.648210091808402</v>
      </c>
      <c r="G333" s="22" t="n">
        <v>8368262.4372039502</v>
      </c>
      <c r="H333" s="23" t="n">
        <v>46.263611130880399</v>
      </c>
      <c r="I333" s="24" t="str">
        <f>=HYPERLINK("https://ucloud.univie.ac.at/index.php/f/1552579218","Open Cytogram")</f>
      </c>
      <c r="J333" s="15" t="s">
        <v>314</v>
      </c>
      <c r="K333" s="25" t="s">
        <v>14</v>
      </c>
      <c r="L333" s="25" t="s">
        <v>314</v>
      </c>
      <c r="M333" s="25" t="s">
        <v>37</v>
      </c>
    </row>
    <row r="334">
      <c r="A334" s="2" t="s">
        <v>161</v>
      </c>
      <c r="B334" s="3" t="n">
        <v>46198</v>
      </c>
      <c r="C334" s="3" t="n">
        <v>46191</v>
      </c>
      <c r="D334" s="4" t="n">
        <f t="shared" si="54"/>
        <v>7</v>
      </c>
      <c r="E334" s="5" t="n">
        <v>2414140.4242450502</v>
      </c>
      <c r="F334" s="6" t="n">
        <v>16.254934137579301</v>
      </c>
      <c r="G334" s="7" t="n">
        <v>11633324.429083699</v>
      </c>
      <c r="H334" s="8" t="n">
        <v>78.329711269792</v>
      </c>
      <c r="I334" s="14" t="str">
        <f>=HYPERLINK("https://ucloud.univie.ac.at/index.php/f/1537345531","Open Cytogram")</f>
      </c>
      <c r="J334" s="9" t="s">
        <v>314</v>
      </c>
      <c r="K334" s="10" t="s">
        <v>14</v>
      </c>
      <c r="L334" s="10" t="s">
        <v>314</v>
      </c>
      <c r="M334" s="10" t="s">
        <v>35</v>
      </c>
    </row>
    <row r="335">
      <c r="A335" s="2" t="s">
        <v>314</v>
      </c>
      <c r="B335" s="3" t="n">
        <v>46205</v>
      </c>
      <c r="C335" s="3" t="n">
        <v>46191</v>
      </c>
      <c r="D335" s="4" t="n">
        <f t="shared" si="54"/>
        <v>14</v>
      </c>
      <c r="E335" s="5" t="n">
        <v>4295763.9039756702</v>
      </c>
      <c r="F335" s="6" t="n">
        <v>21.315573209149399</v>
      </c>
      <c r="G335" s="7" t="n">
        <v>15228741.8205518</v>
      </c>
      <c r="H335" s="8" t="n">
        <v>75.564991097109996</v>
      </c>
      <c r="I335" s="14" t="str">
        <f>=HYPERLINK("https://ucloud.univie.ac.at/index.php/f/1547933978","Open Cytogram")</f>
      </c>
      <c r="J335" s="9" t="s">
        <v>314</v>
      </c>
      <c r="K335" t="s">
        <v>14</v>
      </c>
      <c r="L335" t="s">
        <v>314</v>
      </c>
      <c r="M335" t="s">
        <v>36</v>
      </c>
    </row>
    <row r="336">
      <c r="A336" s="17" t="s">
        <v>314</v>
      </c>
      <c r="B336" s="18" t="n">
        <v>46212</v>
      </c>
      <c r="C336" s="18" t="n">
        <v>46191</v>
      </c>
      <c r="D336" s="19" t="n">
        <f t="shared" si="54"/>
        <v>21</v>
      </c>
      <c r="E336" s="20" t="n">
        <v>8862595.6078656409</v>
      </c>
      <c r="F336" s="21" t="n">
        <v>49.543033966609102</v>
      </c>
      <c r="G336" s="22" t="n">
        <v>4166430.4865795802</v>
      </c>
      <c r="H336" s="23" t="n">
        <v>23.2908750719632</v>
      </c>
      <c r="I336" s="24" t="str">
        <f>=HYPERLINK("https://ucloud.univie.ac.at/index.php/f/1552579218","Open Cytogram")</f>
      </c>
      <c r="J336" s="15" t="s">
        <v>314</v>
      </c>
      <c r="K336" s="16" t="s">
        <v>14</v>
      </c>
      <c r="L336" s="16" t="s">
        <v>314</v>
      </c>
      <c r="M336" s="16" t="s">
        <v>37</v>
      </c>
    </row>
    <row r="337">
      <c r="A337" s="2" t="s">
        <v>162</v>
      </c>
      <c r="B337" s="3" t="n">
        <v>46198</v>
      </c>
      <c r="C337" s="3" t="n">
        <v>46191</v>
      </c>
      <c r="D337" s="4" t="n">
        <f t="shared" si="54"/>
        <v>7</v>
      </c>
      <c r="E337" s="5" t="n">
        <v>3299858.8872241201</v>
      </c>
      <c r="F337" s="6" t="n">
        <v>21.094775531635602</v>
      </c>
      <c r="G337" s="7" t="n">
        <v>10178842.877392599</v>
      </c>
      <c r="H337" s="8" t="n">
        <v>65.069572066159097</v>
      </c>
      <c r="I337" s="14" t="str">
        <f>=HYPERLINK("https://ucloud.univie.ac.at/index.php/f/1537345531","Open Cytogram")</f>
      </c>
      <c r="J337" s="9" t="s">
        <v>314</v>
      </c>
      <c r="K337" t="s">
        <v>14</v>
      </c>
      <c r="L337" t="s">
        <v>314</v>
      </c>
      <c r="M337" t="s">
        <v>35</v>
      </c>
    </row>
    <row r="338">
      <c r="A338" s="2" t="s">
        <v>314</v>
      </c>
      <c r="B338" s="3" t="n">
        <v>46205</v>
      </c>
      <c r="C338" s="3" t="n">
        <v>46191</v>
      </c>
      <c r="D338" s="4" t="n">
        <f t="shared" si="54"/>
        <v>14</v>
      </c>
      <c r="E338" s="5" t="n">
        <v>4335098.6096024299</v>
      </c>
      <c r="F338" s="6" t="n">
        <v>29.491573165579101</v>
      </c>
      <c r="G338" s="7" t="n">
        <v>9579726.0265044495</v>
      </c>
      <c r="H338" s="8" t="n">
        <v>65.170649265292695</v>
      </c>
      <c r="I338" s="14" t="str">
        <f>=HYPERLINK("https://ucloud.univie.ac.at/index.php/f/1547933978","Open Cytogram")</f>
      </c>
      <c r="J338" s="9" t="s">
        <v>314</v>
      </c>
      <c r="K338" s="10" t="s">
        <v>14</v>
      </c>
      <c r="L338" s="10" t="s">
        <v>314</v>
      </c>
      <c r="M338" s="10" t="s">
        <v>36</v>
      </c>
    </row>
    <row r="339">
      <c r="A339" s="17" t="s">
        <v>314</v>
      </c>
      <c r="B339" s="18" t="n">
        <v>46212</v>
      </c>
      <c r="C339" s="18" t="n">
        <v>46191</v>
      </c>
      <c r="D339" s="19" t="n">
        <f t="shared" si="54"/>
        <v>21</v>
      </c>
      <c r="E339" s="20" t="n">
        <v>8793080.0057413392</v>
      </c>
      <c r="F339" s="21" t="n">
        <v>45.759362229517002</v>
      </c>
      <c r="G339" s="22" t="n">
        <v>6308540.8927802397</v>
      </c>
      <c r="H339" s="23" t="n">
        <v>32.829771554900503</v>
      </c>
      <c r="I339" s="24" t="str">
        <f>=HYPERLINK("https://ucloud.univie.ac.at/index.php/f/1552579218","Open Cytogram")</f>
      </c>
      <c r="J339" s="15" t="s">
        <v>314</v>
      </c>
      <c r="K339" s="25" t="s">
        <v>14</v>
      </c>
      <c r="L339" s="25" t="s">
        <v>314</v>
      </c>
      <c r="M339" s="25" t="s">
        <v>37</v>
      </c>
    </row>
    <row r="340">
      <c r="A340" s="2" t="s">
        <v>163</v>
      </c>
      <c r="B340" s="3" t="n">
        <v>46198</v>
      </c>
      <c r="C340" s="3" t="n">
        <v>46191</v>
      </c>
      <c r="D340" s="4" t="n">
        <f t="shared" si="54"/>
        <v>7</v>
      </c>
      <c r="E340" s="5" t="n">
        <v>2209119.5765795698</v>
      </c>
      <c r="F340" s="6" t="n">
        <v>25.897545054633198</v>
      </c>
      <c r="G340" s="7" t="n">
        <v>4755558.5990076298</v>
      </c>
      <c r="H340" s="8" t="n">
        <v>55.749491509389401</v>
      </c>
      <c r="I340" s="14" t="str">
        <f>=HYPERLINK("https://ucloud.univie.ac.at/index.php/f/1537345531","Open Cytogram")</f>
      </c>
      <c r="J340" s="9" t="s">
        <v>314</v>
      </c>
      <c r="K340" s="10" t="s">
        <v>14</v>
      </c>
      <c r="L340" s="10" t="s">
        <v>314</v>
      </c>
      <c r="M340" s="10" t="s">
        <v>35</v>
      </c>
    </row>
    <row r="341">
      <c r="A341" s="2" t="s">
        <v>314</v>
      </c>
      <c r="B341" s="3" t="n">
        <v>46205</v>
      </c>
      <c r="C341" s="3" t="n">
        <v>46191</v>
      </c>
      <c r="D341" s="4" t="n">
        <f t="shared" si="54"/>
        <v>14</v>
      </c>
      <c r="E341" s="5" t="n">
        <v>2751642.2197326198</v>
      </c>
      <c r="F341" s="6" t="n">
        <v>26.852126240924601</v>
      </c>
      <c r="G341" s="7" t="n">
        <v>6852724.0988871502</v>
      </c>
      <c r="H341" s="8" t="n">
        <v>66.872870054822897</v>
      </c>
      <c r="I341" s="14" t="str">
        <f>=HYPERLINK("https://ucloud.univie.ac.at/index.php/f/1547933978","Open Cytogram")</f>
      </c>
      <c r="J341" s="9" t="s">
        <v>314</v>
      </c>
      <c r="K341" t="s">
        <v>14</v>
      </c>
      <c r="L341" t="s">
        <v>314</v>
      </c>
      <c r="M341" t="s">
        <v>36</v>
      </c>
    </row>
    <row r="342">
      <c r="A342" s="17" t="s">
        <v>314</v>
      </c>
      <c r="B342" s="18" t="n">
        <v>46212</v>
      </c>
      <c r="C342" s="18" t="n">
        <v>46191</v>
      </c>
      <c r="D342" s="19" t="n">
        <f t="shared" si="54"/>
        <v>21</v>
      </c>
      <c r="E342" s="20" t="n">
        <v>2917855.43322558</v>
      </c>
      <c r="F342" s="21" t="n">
        <v>47.308084239130402</v>
      </c>
      <c r="G342" s="22" t="n">
        <v>2376289.7326412601</v>
      </c>
      <c r="H342" s="23" t="n">
        <v>38.527513586956502</v>
      </c>
      <c r="I342" s="24" t="str">
        <f>=HYPERLINK("https://ucloud.univie.ac.at/index.php/f/1552579218","Open Cytogram")</f>
      </c>
      <c r="J342" s="15" t="s">
        <v>314</v>
      </c>
      <c r="K342" s="16" t="s">
        <v>14</v>
      </c>
      <c r="L342" s="16" t="s">
        <v>314</v>
      </c>
      <c r="M342" s="16" t="s">
        <v>37</v>
      </c>
    </row>
    <row r="343">
      <c r="A343" s="2" t="s">
        <v>164</v>
      </c>
      <c r="B343" s="3" t="n">
        <v>46198</v>
      </c>
      <c r="C343" s="3" t="n">
        <v>46191</v>
      </c>
      <c r="D343" s="4" t="n">
        <f t="shared" si="54"/>
        <v>7</v>
      </c>
      <c r="E343" s="5" t="n">
        <v>533551.13304664101</v>
      </c>
      <c r="F343" s="6" t="n">
        <v>9.4382717518022403</v>
      </c>
      <c r="G343" s="7" t="n">
        <v>4601424.5938471602</v>
      </c>
      <c r="H343" s="8" t="n">
        <v>81.397064071756503</v>
      </c>
      <c r="I343" s="14" t="str">
        <f>=HYPERLINK("https://ucloud.univie.ac.at/index.php/f/1537345531","Open Cytogram")</f>
      </c>
      <c r="J343" s="9" t="s">
        <v>314</v>
      </c>
      <c r="K343" t="s">
        <v>14</v>
      </c>
      <c r="L343" t="s">
        <v>314</v>
      </c>
      <c r="M343" t="s">
        <v>35</v>
      </c>
    </row>
    <row r="344">
      <c r="A344" s="2" t="s">
        <v>314</v>
      </c>
      <c r="B344" s="3" t="n">
        <v>46205</v>
      </c>
      <c r="C344" s="3" t="n">
        <v>46191</v>
      </c>
      <c r="D344" s="4" t="n">
        <f t="shared" si="54"/>
        <v>14</v>
      </c>
      <c r="E344" s="5" t="n">
        <v>778809.28711267398</v>
      </c>
      <c r="F344" s="6" t="n">
        <v>21.623120874244201</v>
      </c>
      <c r="G344" s="7" t="n">
        <v>2490671.2604275499</v>
      </c>
      <c r="H344" s="8" t="n">
        <v>69.151827813834799</v>
      </c>
      <c r="I344" s="14" t="str">
        <f>=HYPERLINK("https://ucloud.univie.ac.at/index.php/f/1547933978","Open Cytogram")</f>
      </c>
      <c r="J344" s="9" t="s">
        <v>314</v>
      </c>
      <c r="K344" s="10" t="s">
        <v>14</v>
      </c>
      <c r="L344" s="10" t="s">
        <v>314</v>
      </c>
      <c r="M344" s="10" t="s">
        <v>36</v>
      </c>
    </row>
    <row r="345">
      <c r="A345" s="17" t="s">
        <v>314</v>
      </c>
      <c r="B345" s="18" t="n">
        <v>46212</v>
      </c>
      <c r="C345" s="18" t="n">
        <v>46191</v>
      </c>
      <c r="D345" s="19" t="n">
        <f t="shared" si="54"/>
        <v>21</v>
      </c>
      <c r="E345" s="20" t="n">
        <v>2795100.8233747701</v>
      </c>
      <c r="F345" s="21" t="n">
        <v>37.2628372497824</v>
      </c>
      <c r="G345" s="22" t="n">
        <v>2810768.7948242598</v>
      </c>
      <c r="H345" s="23" t="n">
        <v>37.471714534377703</v>
      </c>
      <c r="I345" s="24" t="str">
        <f>=HYPERLINK("https://ucloud.univie.ac.at/index.php/f/1552579218","Open Cytogram")</f>
      </c>
      <c r="J345" s="15" t="s">
        <v>314</v>
      </c>
      <c r="K345" s="25" t="s">
        <v>14</v>
      </c>
      <c r="L345" s="25" t="s">
        <v>314</v>
      </c>
      <c r="M345" s="25" t="s">
        <v>37</v>
      </c>
    </row>
    <row r="346">
      <c r="A346" s="2" t="s">
        <v>165</v>
      </c>
      <c r="B346" s="3" t="n">
        <v>46198</v>
      </c>
      <c r="C346" s="3" t="n">
        <v>46191</v>
      </c>
      <c r="D346" s="4" t="n">
        <f t="shared" si="54"/>
        <v>7</v>
      </c>
      <c r="E346" s="5" t="n">
        <v>371616.279457492</v>
      </c>
      <c r="F346" s="6" t="n">
        <v>3.5546578497086001</v>
      </c>
      <c r="G346" s="7" t="n">
        <v>9839828.8111147601</v>
      </c>
      <c r="H346" s="8" t="n">
        <v>94.121885010742503</v>
      </c>
      <c r="I346" s="14" t="str">
        <f>=HYPERLINK("https://ucloud.univie.ac.at/index.php/f/1537345531","Open Cytogram")</f>
      </c>
      <c r="J346" s="9" t="s">
        <v>314</v>
      </c>
      <c r="K346" s="10" t="s">
        <v>14</v>
      </c>
      <c r="L346" s="10" t="s">
        <v>314</v>
      </c>
      <c r="M346" s="10" t="s">
        <v>35</v>
      </c>
    </row>
    <row r="347">
      <c r="A347" s="2" t="s">
        <v>314</v>
      </c>
      <c r="B347" s="3" t="n">
        <v>46205</v>
      </c>
      <c r="C347" s="3" t="n">
        <v>46191</v>
      </c>
      <c r="D347" s="4" t="n">
        <f t="shared" si="54"/>
        <v>14</v>
      </c>
      <c r="E347" s="5" t="n">
        <v>2660161.2189110499</v>
      </c>
      <c r="F347" s="6" t="n">
        <v>28.150230970074301</v>
      </c>
      <c r="G347" s="7" t="n">
        <v>5630446.8264993699</v>
      </c>
      <c r="H347" s="8" t="n">
        <v>59.582245430809401</v>
      </c>
      <c r="I347" s="14" t="str">
        <f>=HYPERLINK("https://ucloud.univie.ac.at/index.php/f/1547933978","Open Cytogram")</f>
      </c>
      <c r="J347" s="9" t="s">
        <v>314</v>
      </c>
      <c r="K347" t="s">
        <v>14</v>
      </c>
      <c r="L347" t="s">
        <v>314</v>
      </c>
      <c r="M347" t="s">
        <v>36</v>
      </c>
    </row>
    <row r="348">
      <c r="A348" s="17" t="s">
        <v>314</v>
      </c>
      <c r="B348" s="18" t="n">
        <v>46212</v>
      </c>
      <c r="C348" s="18" t="n">
        <v>46191</v>
      </c>
      <c r="D348" s="19" t="n">
        <f t="shared" si="54"/>
        <v>21</v>
      </c>
      <c r="E348" s="20" t="n">
        <v>1976662.43133968</v>
      </c>
      <c r="F348" s="21" t="n">
        <v>31.806497829842801</v>
      </c>
      <c r="G348" s="22" t="n">
        <v>3503678.6789737102</v>
      </c>
      <c r="H348" s="23" t="n">
        <v>56.377733765960102</v>
      </c>
      <c r="I348" s="24" t="str">
        <f>=HYPERLINK("https://ucloud.univie.ac.at/index.php/f/1552579218","Open Cytogram")</f>
      </c>
      <c r="J348" s="15" t="s">
        <v>314</v>
      </c>
      <c r="K348" s="16" t="s">
        <v>14</v>
      </c>
      <c r="L348" s="16" t="s">
        <v>314</v>
      </c>
      <c r="M348" s="16" t="s">
        <v>37</v>
      </c>
    </row>
    <row r="349">
      <c r="A349" s="2" t="s">
        <v>166</v>
      </c>
      <c r="B349" s="3" t="n">
        <v>46192</v>
      </c>
      <c r="C349" s="3"/>
      <c r="D349" s="4" t="str">
        <f t="shared" si="54"/>
        <v/>
      </c>
      <c r="E349" s="5" t="n">
        <v>12885971.4370085</v>
      </c>
      <c r="F349" s="6" t="n">
        <v>56.267051837586301</v>
      </c>
      <c r="G349" s="7" t="n">
        <v>7658626.06442283</v>
      </c>
      <c r="H349" s="8" t="n">
        <v>33.441662654469603</v>
      </c>
      <c r="I349" s="14" t="str">
        <f>=HYPERLINK("https://ucloud.univie.ac.at/index.php/f/1537345531","Open Cytogram")</f>
      </c>
      <c r="J349" s="9" t="s">
        <v>314</v>
      </c>
      <c r="K349" t="s">
        <v>14</v>
      </c>
      <c r="L349" t="s">
        <v>314</v>
      </c>
      <c r="M349" t="s">
        <v>35</v>
      </c>
    </row>
    <row r="350">
      <c r="A350" s="2" t="s">
        <v>314</v>
      </c>
      <c r="B350" s="3" t="n">
        <v>46198</v>
      </c>
      <c r="C350" s="3"/>
      <c r="D350" s="4" t="str">
        <f t="shared" si="54"/>
        <v/>
      </c>
      <c r="E350" s="5" t="n">
        <v>4600688.7467984604</v>
      </c>
      <c r="F350" s="6" t="n">
        <v>15.6880561473869</v>
      </c>
      <c r="G350" s="7" t="n">
        <v>21933900.7539097</v>
      </c>
      <c r="H350" s="8" t="n">
        <v>74.7932071688181</v>
      </c>
      <c r="I350" s="14" t="str">
        <f>=HYPERLINK("https://ucloud.univie.ac.at/index.php/f/1537345531","Open Cytogram")</f>
      </c>
      <c r="J350" s="9" t="s">
        <v>314</v>
      </c>
      <c r="K350" s="10" t="s">
        <v>14</v>
      </c>
      <c r="L350" s="10" t="s">
        <v>314</v>
      </c>
      <c r="M350" s="10" t="s">
        <v>35</v>
      </c>
    </row>
    <row r="351">
      <c r="A351" s="17" t="s">
        <v>314</v>
      </c>
      <c r="B351" s="18" t="n">
        <v>46204</v>
      </c>
      <c r="C351" s="18"/>
      <c r="D351" s="19" t="str">
        <f t="shared" si="54"/>
        <v/>
      </c>
      <c r="E351" s="20" t="n">
        <v>9493110.1541812196</v>
      </c>
      <c r="F351" s="21" t="n">
        <v>35.374484439445098</v>
      </c>
      <c r="G351" s="22" t="n">
        <v>14551280.738485901</v>
      </c>
      <c r="H351" s="23" t="n">
        <v>54.222909636295498</v>
      </c>
      <c r="I351" s="24" t="str">
        <f>=HYPERLINK("https://ucloud.univie.ac.at/index.php/f/1543012007","Open Cytogram")</f>
      </c>
      <c r="J351" s="15" t="s">
        <v>314</v>
      </c>
      <c r="K351" s="25" t="s">
        <v>14</v>
      </c>
      <c r="L351" s="25" t="s">
        <v>314</v>
      </c>
      <c r="M351" s="25" t="s">
        <v>46</v>
      </c>
    </row>
    <row r="352">
      <c r="A352" s="17" t="s">
        <v>167</v>
      </c>
      <c r="B352" s="18" t="n">
        <v>46211</v>
      </c>
      <c r="C352" s="18"/>
      <c r="D352" s="19" t="str">
        <f t="shared" si="54"/>
        <v/>
      </c>
      <c r="E352" s="20" t="n">
        <v>16972315.727003001</v>
      </c>
      <c r="F352" s="21" t="n">
        <v>45.096471058682397</v>
      </c>
      <c r="G352" s="22" t="n">
        <v>12331359.963478699</v>
      </c>
      <c r="H352" s="23" t="n">
        <v>32.765170448865298</v>
      </c>
      <c r="I352" s="24" t="str">
        <f>=HYPERLINK("https://ucloud.univie.ac.at/index.php/f/1556102548","Open Cytogram")</f>
      </c>
      <c r="J352" s="15" t="s">
        <v>314</v>
      </c>
      <c r="K352" s="16" t="s">
        <v>14</v>
      </c>
      <c r="L352" s="16" t="s">
        <v>314</v>
      </c>
      <c r="M352" s="16" t="s">
        <v>72</v>
      </c>
    </row>
    <row r="353">
      <c r="A353" s="17" t="s">
        <v>168</v>
      </c>
      <c r="B353" s="18" t="n">
        <v>46204</v>
      </c>
      <c r="C353" s="18"/>
      <c r="D353" s="19" t="str">
        <f t="shared" si="54"/>
        <v/>
      </c>
      <c r="E353" s="20" t="n">
        <v>1654262.0889329901</v>
      </c>
      <c r="F353" s="21" t="n">
        <v>34.479459763646602</v>
      </c>
      <c r="G353" s="22" t="n">
        <v>2799312.76939076</v>
      </c>
      <c r="H353" s="23" t="n">
        <v>58.345526167698402</v>
      </c>
      <c r="I353" s="24" t="str">
        <f>=HYPERLINK("https://ucloud.univie.ac.at/index.php/f/1543012007","Open Cytogram")</f>
      </c>
      <c r="J353" s="15" t="s">
        <v>314</v>
      </c>
      <c r="K353" s="25" t="s">
        <v>14</v>
      </c>
      <c r="L353" s="25" t="s">
        <v>314</v>
      </c>
      <c r="M353" s="25" t="s">
        <v>46</v>
      </c>
    </row>
    <row r="354">
      <c r="A354" s="17" t="s">
        <v>169</v>
      </c>
      <c r="B354" s="18" t="n">
        <v>46204</v>
      </c>
      <c r="C354" s="18"/>
      <c r="D354" s="19" t="str">
        <f t="shared" si="54"/>
        <v/>
      </c>
      <c r="E354" s="20" t="n">
        <v>1637522.37136911</v>
      </c>
      <c r="F354" s="21" t="n">
        <v>36.260911156283598</v>
      </c>
      <c r="G354" s="22" t="n">
        <v>2664990.0357129201</v>
      </c>
      <c r="H354" s="23" t="n">
        <v>59.0129140260672</v>
      </c>
      <c r="I354" s="24" t="str">
        <f>=HYPERLINK("https://ucloud.univie.ac.at/index.php/f/1543012007","Open Cytogram")</f>
      </c>
      <c r="J354" s="15" t="s">
        <v>314</v>
      </c>
      <c r="K354" s="16" t="s">
        <v>14</v>
      </c>
      <c r="L354" s="16" t="s">
        <v>314</v>
      </c>
      <c r="M354" s="16" t="s">
        <v>46</v>
      </c>
    </row>
    <row r="355">
      <c r="A355" s="2" t="s">
        <v>170</v>
      </c>
      <c r="B355" s="3" t="n">
        <v>46192</v>
      </c>
      <c r="C355" s="3"/>
      <c r="D355" s="4" t="str">
        <f t="shared" si="54"/>
        <v/>
      </c>
      <c r="E355" s="5" t="n">
        <v>12576407.8954046</v>
      </c>
      <c r="F355" s="6" t="n">
        <v>67.1245791245791</v>
      </c>
      <c r="G355" s="7" t="n">
        <v>4648863.4589286698</v>
      </c>
      <c r="H355" s="8" t="n">
        <v>24.8125701459035</v>
      </c>
      <c r="I355" s="14" t="str">
        <f>=HYPERLINK("https://ucloud.univie.ac.at/index.php/f/1537345531","Open Cytogram")</f>
      </c>
      <c r="J355" s="9" t="s">
        <v>314</v>
      </c>
      <c r="K355" t="s">
        <v>14</v>
      </c>
      <c r="L355" t="s">
        <v>314</v>
      </c>
      <c r="M355" t="s">
        <v>35</v>
      </c>
    </row>
    <row r="356">
      <c r="A356" s="2" t="s">
        <v>314</v>
      </c>
      <c r="B356" s="3" t="n">
        <v>46198</v>
      </c>
      <c r="C356" s="3"/>
      <c r="D356" s="4" t="str">
        <f t="shared" si="54"/>
        <v/>
      </c>
      <c r="E356" s="5" t="n">
        <v>7240548.6967788702</v>
      </c>
      <c r="F356" s="6" t="n">
        <v>21.0352099516831</v>
      </c>
      <c r="G356" s="7" t="n">
        <v>23051224.0045802</v>
      </c>
      <c r="H356" s="8" t="n">
        <v>66.968313712928094</v>
      </c>
      <c r="I356" s="14" t="str">
        <f>=HYPERLINK("https://ucloud.univie.ac.at/index.php/f/1537345531","Open Cytogram")</f>
      </c>
      <c r="J356" s="9" t="s">
        <v>314</v>
      </c>
      <c r="K356" s="10" t="s">
        <v>14</v>
      </c>
      <c r="L356" s="10" t="s">
        <v>314</v>
      </c>
      <c r="M356" s="10" t="s">
        <v>35</v>
      </c>
    </row>
    <row r="357">
      <c r="A357" s="17" t="s">
        <v>314</v>
      </c>
      <c r="B357" s="18" t="n">
        <v>46204</v>
      </c>
      <c r="C357" s="18"/>
      <c r="D357" s="19" t="str">
        <f t="shared" si="54"/>
        <v/>
      </c>
      <c r="E357" s="20" t="n">
        <v>15241295.311734401</v>
      </c>
      <c r="F357" s="21" t="n">
        <v>30.6014802116472</v>
      </c>
      <c r="G357" s="22" t="n">
        <v>29861116.8528798</v>
      </c>
      <c r="H357" s="23" t="n">
        <v>59.955165081510501</v>
      </c>
      <c r="I357" s="24" t="str">
        <f>=HYPERLINK("https://ucloud.univie.ac.at/index.php/f/1543012007","Open Cytogram")</f>
      </c>
      <c r="J357" s="15" t="s">
        <v>314</v>
      </c>
      <c r="K357" s="25" t="s">
        <v>14</v>
      </c>
      <c r="L357" s="25" t="s">
        <v>314</v>
      </c>
      <c r="M357" s="25" t="s">
        <v>46</v>
      </c>
    </row>
    <row r="358">
      <c r="A358" s="17" t="s">
        <v>171</v>
      </c>
      <c r="B358" s="18" t="n">
        <v>46212</v>
      </c>
      <c r="C358" s="18"/>
      <c r="D358" s="19" t="str">
        <f t="shared" si="54"/>
        <v/>
      </c>
      <c r="E358" s="20" t="n">
        <v>14492612.9086225</v>
      </c>
      <c r="F358" s="21" t="n">
        <v>53.580409908210697</v>
      </c>
      <c r="G358" s="22" t="n">
        <v>9949695.2922675405</v>
      </c>
      <c r="H358" s="23" t="n">
        <v>36.784861058719997</v>
      </c>
      <c r="I358" s="24" t="str">
        <f>=HYPERLINK("https://ucloud.univie.ac.at/index.php/f/1552579218","Open Cytogram")</f>
      </c>
      <c r="J358" s="15" t="s">
        <v>314</v>
      </c>
      <c r="K358" s="16" t="s">
        <v>14</v>
      </c>
      <c r="L358" s="16" t="s">
        <v>314</v>
      </c>
      <c r="M358" s="16" t="s">
        <v>37</v>
      </c>
    </row>
    <row r="359">
      <c r="A359" s="17" t="s">
        <v>172</v>
      </c>
      <c r="B359" s="18" t="n">
        <v>46211</v>
      </c>
      <c r="C359" s="18"/>
      <c r="D359" s="19" t="str">
        <f t="shared" si="54"/>
        <v/>
      </c>
      <c r="E359" s="20" t="n">
        <v>16395723.533439901</v>
      </c>
      <c r="F359" s="21" t="n">
        <v>55.004733354370501</v>
      </c>
      <c r="G359" s="22" t="n">
        <v>7998923.3508331403</v>
      </c>
      <c r="H359" s="23" t="n">
        <v>26.8349637109498</v>
      </c>
      <c r="I359" s="24" t="str">
        <f>=HYPERLINK("https://ucloud.univie.ac.at/index.php/f/1556102548","Open Cytogram")</f>
      </c>
      <c r="J359" s="15" t="s">
        <v>314</v>
      </c>
      <c r="K359" s="25" t="s">
        <v>14</v>
      </c>
      <c r="L359" s="25" t="s">
        <v>314</v>
      </c>
      <c r="M359" s="25" t="s">
        <v>72</v>
      </c>
    </row>
    <row r="360">
      <c r="A360" s="17" t="s">
        <v>173</v>
      </c>
      <c r="B360" s="18" t="n">
        <v>46204</v>
      </c>
      <c r="C360" s="18"/>
      <c r="D360" s="19" t="str">
        <f t="shared" si="54"/>
        <v/>
      </c>
      <c r="E360" s="20" t="n">
        <v>577317.75937015598</v>
      </c>
      <c r="F360" s="21" t="n">
        <v>28.879659643436</v>
      </c>
      <c r="G360" s="22" t="n">
        <v>1356625.86071566</v>
      </c>
      <c r="H360" s="23" t="n">
        <v>67.863654781199401</v>
      </c>
      <c r="I360" s="24" t="str">
        <f>=HYPERLINK("https://ucloud.univie.ac.at/index.php/f/1543012007","Open Cytogram")</f>
      </c>
      <c r="J360" s="15" t="s">
        <v>314</v>
      </c>
      <c r="K360" s="16" t="s">
        <v>14</v>
      </c>
      <c r="L360" s="16" t="s">
        <v>314</v>
      </c>
      <c r="M360" s="16" t="s">
        <v>46</v>
      </c>
    </row>
    <row r="361">
      <c r="A361" s="2" t="s">
        <v>174</v>
      </c>
      <c r="B361" s="3" t="n">
        <v>46204</v>
      </c>
      <c r="C361" s="3"/>
      <c r="D361" s="4" t="str">
        <f t="shared" si="54"/>
        <v/>
      </c>
      <c r="E361" s="5" t="n">
        <v>541982.10556093405</v>
      </c>
      <c r="F361" s="6" t="n">
        <v>30.607810623820701</v>
      </c>
      <c r="G361" s="7" t="n">
        <v>1160912.91282676</v>
      </c>
      <c r="H361" s="8" t="n">
        <v>65.561209903367796</v>
      </c>
      <c r="I361" s="14" t="str">
        <f>=HYPERLINK("https://ucloud.univie.ac.at/index.php/f/1543012007","Open Cytogram")</f>
      </c>
      <c r="J361" s="9" t="s">
        <v>314</v>
      </c>
      <c r="K361" t="s">
        <v>14</v>
      </c>
      <c r="L361" t="s">
        <v>314</v>
      </c>
      <c r="M361" t="s">
        <v>46</v>
      </c>
    </row>
  </sheetData>
  <hyperlinks>
    <hyperlink ref="K292" r:id="rId1h"/>
  </hyperlinks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opLeftCell="A1" zoomScale="85" workbookViewId="0">
      <pane ySplit="1" topLeftCell="A2" activePane="bottomLeft" state="frozen"/>
      <selection activeCell="P238" activeCellId="0" sqref="P238"/>
    </sheetView>
  </sheetViews>
  <sheetFormatPr defaultRowHeight="15.0" baseColWidth="10"/>
  <cols>
    <col min="1" max="1" width="14.7109375" hidden="0" customWidth="1"/>
    <col min="2" max="2" width="14.7109375" hidden="0" customWidth="1"/>
    <col min="3" max="3" width="14.7109375" hidden="0" customWidth="1"/>
    <col min="4" max="4" width="11.7109375" hidden="0" customWidth="1"/>
    <col min="5" max="5" width="14.7109375" hidden="0" customWidth="1"/>
    <col min="6" max="6" width="10.7109375" hidden="0" customWidth="1"/>
    <col min="7" max="7" width="16.7109375" hidden="0" customWidth="1"/>
    <col min="8" max="8" width="12.7109375" hidden="0" customWidth="1"/>
    <col min="9" max="9" width="14.7109375" hidden="0" customWidth="1"/>
    <col min="10" max="10" width="10.7109375" hidden="0" customWidth="1"/>
    <col min="11" max="11" width="16.7109375" hidden="0" customWidth="1"/>
    <col min="12" max="12" width="16.7109375" hidden="0" customWidth="1"/>
    <col min="13" max="13" width="9.14" hidden="1" customWidth="1"/>
    <col min="14" max="14" width="16.7109375" hidden="0" customWidth="1"/>
    <col min="15" max="15" width="9.14" hidden="1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175</v>
      </c>
      <c r="J1" s="1" t="s">
        <v>176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</row>
    <row r="2">
      <c r="A2" s="17" t="s">
        <v>177</v>
      </c>
      <c r="B2" s="18" t="n">
        <v>46153</v>
      </c>
      <c r="C2" s="18" t="n">
        <v>46136</v>
      </c>
      <c r="D2" s="19" t="n">
        <f t="shared" ref="D2:D65" si="60">IF(OR(C2="",B2=""),"",B2-C2)</f>
        <v>17</v>
      </c>
      <c r="E2" s="20" t="n">
        <v>4644886.1217994997</v>
      </c>
      <c r="F2" s="21" t="n">
        <v>41.770796144234197</v>
      </c>
      <c r="G2" s="22" t="n">
        <v>3827068.5653117299</v>
      </c>
      <c r="H2" s="23" t="n">
        <v>34.416279900035697</v>
      </c>
      <c r="I2" s="27" t="n">
        <v>2167172.4137132899</v>
      </c>
      <c r="J2" s="28" t="n">
        <v>19.489071363402001</v>
      </c>
      <c r="K2" s="24" t="str">
        <f>=HYPERLINK("https://ucloud.univie.ac.at/index.php/f/1514656058","Open Cytogram")</f>
      </c>
      <c r="L2" s="15" t="s">
        <v>314</v>
      </c>
      <c r="M2" s="16" t="s">
        <v>14</v>
      </c>
      <c r="N2" s="16" t="s">
        <v>314</v>
      </c>
      <c r="O2" s="16" t="s">
        <v>178</v>
      </c>
    </row>
    <row r="3">
      <c r="A3" s="17" t="s">
        <v>179</v>
      </c>
      <c r="B3" s="18" t="n">
        <v>46153</v>
      </c>
      <c r="C3" s="18" t="n">
        <v>46136</v>
      </c>
      <c r="D3" s="19" t="n">
        <f t="shared" si="60"/>
        <v>17</v>
      </c>
      <c r="E3" s="20" t="n">
        <v>6565037.0513525195</v>
      </c>
      <c r="F3" s="21" t="n">
        <v>49.969782433521402</v>
      </c>
      <c r="G3" s="22" t="n">
        <v>2814280.48025459</v>
      </c>
      <c r="H3" s="23" t="n">
        <v>21.420897125973699</v>
      </c>
      <c r="I3" s="27" t="n">
        <v>2684594.2010704498</v>
      </c>
      <c r="J3" s="28" t="n">
        <v>20.4337899543379</v>
      </c>
      <c r="K3" s="24" t="str">
        <f>=HYPERLINK("https://ucloud.univie.ac.at/index.php/f/1514656058","Open Cytogram")</f>
      </c>
      <c r="L3" s="15" t="s">
        <v>314</v>
      </c>
      <c r="M3" s="25" t="s">
        <v>14</v>
      </c>
      <c r="N3" s="25" t="s">
        <v>314</v>
      </c>
      <c r="O3" s="25" t="s">
        <v>178</v>
      </c>
    </row>
    <row r="4">
      <c r="A4" s="17" t="s">
        <v>180</v>
      </c>
      <c r="B4" s="18" t="n">
        <v>46153</v>
      </c>
      <c r="C4" s="18" t="n">
        <v>46136</v>
      </c>
      <c r="D4" s="19" t="n">
        <f t="shared" si="60"/>
        <v>17</v>
      </c>
      <c r="E4" s="20" t="n">
        <v>4108937.72313033</v>
      </c>
      <c r="F4" s="21" t="n">
        <v>41.477424525781501</v>
      </c>
      <c r="G4" s="22" t="n">
        <v>2819132.6879791701</v>
      </c>
      <c r="H4" s="23" t="n">
        <v>28.457565232879201</v>
      </c>
      <c r="I4" s="27" t="n">
        <v>2352438.5268334998</v>
      </c>
      <c r="J4" s="28" t="n">
        <v>23.746549113901501</v>
      </c>
      <c r="K4" s="24" t="str">
        <f>=HYPERLINK("https://ucloud.univie.ac.at/index.php/f/1514656058","Open Cytogram")</f>
      </c>
      <c r="L4" s="15" t="s">
        <v>314</v>
      </c>
      <c r="M4" s="16" t="s">
        <v>14</v>
      </c>
      <c r="N4" s="16" t="s">
        <v>314</v>
      </c>
      <c r="O4" s="16" t="s">
        <v>178</v>
      </c>
    </row>
    <row r="5">
      <c r="A5" s="17" t="s">
        <v>181</v>
      </c>
      <c r="B5" s="18" t="n">
        <v>46153</v>
      </c>
      <c r="C5" s="18" t="n">
        <v>46136</v>
      </c>
      <c r="D5" s="19" t="n">
        <f t="shared" si="60"/>
        <v>17</v>
      </c>
      <c r="E5" s="20" t="n">
        <v>1062060.3834264399</v>
      </c>
      <c r="F5" s="21" t="n">
        <v>12.4114934958011</v>
      </c>
      <c r="G5" s="22" t="n">
        <v>45793.648373279299</v>
      </c>
      <c r="H5" s="23" t="n">
        <v>0.53515560678412699</v>
      </c>
      <c r="I5" s="27" t="n">
        <v>7169171.7822537003</v>
      </c>
      <c r="J5" s="28" t="n">
        <v>83.780668532850299</v>
      </c>
      <c r="K5" s="24" t="str">
        <f>=HYPERLINK("https://ucloud.univie.ac.at/index.php/f/1514656058","Open Cytogram")</f>
      </c>
      <c r="L5" s="15" t="s">
        <v>314</v>
      </c>
      <c r="M5" s="25" t="s">
        <v>14</v>
      </c>
      <c r="N5" s="25" t="s">
        <v>314</v>
      </c>
      <c r="O5" s="25" t="s">
        <v>178</v>
      </c>
    </row>
    <row r="6">
      <c r="A6" s="17" t="s">
        <v>182</v>
      </c>
      <c r="B6" s="18"/>
      <c r="C6" s="18" t="n">
        <v>46160</v>
      </c>
      <c r="D6" s="19" t="str">
        <f t="shared" si="60"/>
        <v/>
      </c>
      <c r="E6" s="20" t="n">
        <v>19993936.351063501</v>
      </c>
      <c r="F6" s="21" t="n">
        <v>57.563393395038098</v>
      </c>
      <c r="G6" s="22" t="n">
        <v>7144971.68874883</v>
      </c>
      <c r="H6" s="23" t="n">
        <v>20.570677474122402</v>
      </c>
      <c r="I6" s="27" t="n">
        <v>6351720.0395986</v>
      </c>
      <c r="J6" s="28" t="n">
        <v>18.286872227394699</v>
      </c>
      <c r="K6" s="24" t="str">
        <f>=HYPERLINK("https://ucloud.univie.ac.at/index.php/f/1518571913","Open Cytogram")</f>
      </c>
      <c r="L6" s="15" t="s">
        <v>314</v>
      </c>
      <c r="M6" s="16" t="s">
        <v>14</v>
      </c>
      <c r="N6" s="16" t="s">
        <v>314</v>
      </c>
      <c r="O6" s="16" t="s">
        <v>183</v>
      </c>
    </row>
    <row r="7">
      <c r="A7" s="2" t="s">
        <v>184</v>
      </c>
      <c r="B7" s="3"/>
      <c r="C7" s="3" t="n">
        <v>46160</v>
      </c>
      <c r="D7" s="4" t="str">
        <f t="shared" si="60"/>
        <v/>
      </c>
      <c r="E7" s="5" t="n">
        <v>14721761.421519499</v>
      </c>
      <c r="F7" s="6" t="n">
        <v>41.613120043016501</v>
      </c>
      <c r="G7" s="7" t="n">
        <v>9197534.1094517</v>
      </c>
      <c r="H7" s="8" t="n">
        <v>25.998118026616499</v>
      </c>
      <c r="I7" s="12" t="n">
        <v>9265065.1251467392</v>
      </c>
      <c r="J7" s="13" t="n">
        <v>26.1890038983734</v>
      </c>
      <c r="K7" s="14" t="str">
        <f>=HYPERLINK("https://ucloud.univie.ac.at/index.php/f/1518571913","Open Cytogram")</f>
      </c>
      <c r="L7" s="9" t="s">
        <v>314</v>
      </c>
      <c r="M7" t="s">
        <v>14</v>
      </c>
      <c r="N7" t="s">
        <v>314</v>
      </c>
      <c r="O7" t="s">
        <v>183</v>
      </c>
    </row>
    <row r="8">
      <c r="A8" s="17" t="s">
        <v>314</v>
      </c>
      <c r="B8" s="18" t="n">
        <v>46189</v>
      </c>
      <c r="C8" s="18" t="n">
        <v>46160</v>
      </c>
      <c r="D8" s="19" t="n">
        <f t="shared" si="60"/>
        <v>29</v>
      </c>
      <c r="E8" s="20" t="n">
        <v>3364270.1784272199</v>
      </c>
      <c r="F8" s="21" t="n">
        <v>22.829224961137001</v>
      </c>
      <c r="G8" s="22" t="n">
        <v>2731015.04270186</v>
      </c>
      <c r="H8" s="23" t="n">
        <v>18.5320897179658</v>
      </c>
      <c r="I8" s="27" t="n">
        <v>2675380.2245761198</v>
      </c>
      <c r="J8" s="28" t="n">
        <v>18.1545636242505</v>
      </c>
      <c r="K8" s="24" t="str">
        <f>=HYPERLINK("https://ucloud.univie.ac.at/index.php/f/1525440666","Open Cytogram")</f>
      </c>
      <c r="L8" s="15" t="s">
        <v>314</v>
      </c>
      <c r="M8" s="16" t="s">
        <v>14</v>
      </c>
      <c r="N8" s="16" t="s">
        <v>314</v>
      </c>
      <c r="O8" s="16" t="s">
        <v>185</v>
      </c>
    </row>
    <row r="9">
      <c r="A9" s="2" t="s">
        <v>186</v>
      </c>
      <c r="B9" s="3"/>
      <c r="C9" s="3" t="n">
        <v>46160</v>
      </c>
      <c r="D9" s="4" t="str">
        <f t="shared" si="60"/>
        <v/>
      </c>
      <c r="E9" s="5" t="n">
        <v>11387424.827000899</v>
      </c>
      <c r="F9" s="6" t="n">
        <v>47.406641981687201</v>
      </c>
      <c r="G9" s="7" t="n">
        <v>5113171.6224896396</v>
      </c>
      <c r="H9" s="8" t="n">
        <v>21.286489279255999</v>
      </c>
      <c r="I9" s="12" t="n">
        <v>5768176.0779056503</v>
      </c>
      <c r="J9" s="13" t="n">
        <v>24.013318407531798</v>
      </c>
      <c r="K9" s="14" t="str">
        <f>=HYPERLINK("https://ucloud.univie.ac.at/index.php/f/1518571913","Open Cytogram")</f>
      </c>
      <c r="L9" s="9" t="s">
        <v>314</v>
      </c>
      <c r="M9" t="s">
        <v>14</v>
      </c>
      <c r="N9" t="s">
        <v>314</v>
      </c>
      <c r="O9" t="s">
        <v>183</v>
      </c>
    </row>
    <row r="10">
      <c r="A10" s="17" t="s">
        <v>314</v>
      </c>
      <c r="B10" s="18" t="n">
        <v>46189</v>
      </c>
      <c r="C10" s="18" t="n">
        <v>46160</v>
      </c>
      <c r="D10" s="19" t="n">
        <f t="shared" si="60"/>
        <v>29</v>
      </c>
      <c r="E10" s="20" t="n">
        <v>3586809.45093018</v>
      </c>
      <c r="F10" s="21" t="n">
        <v>17.409951947897198</v>
      </c>
      <c r="G10" s="22" t="n">
        <v>3001007.5424297201</v>
      </c>
      <c r="H10" s="23" t="n">
        <v>14.566538262976101</v>
      </c>
      <c r="I10" s="27" t="n">
        <v>11589223.5110461</v>
      </c>
      <c r="J10" s="28" t="n">
        <v>56.252730233112302</v>
      </c>
      <c r="K10" s="24" t="str">
        <f>=HYPERLINK("https://ucloud.univie.ac.at/index.php/f/1525440666","Open Cytogram")</f>
      </c>
      <c r="L10" s="15" t="s">
        <v>314</v>
      </c>
      <c r="M10" s="16" t="s">
        <v>14</v>
      </c>
      <c r="N10" s="16" t="s">
        <v>314</v>
      </c>
      <c r="O10" s="16" t="s">
        <v>185</v>
      </c>
    </row>
    <row r="11">
      <c r="A11" s="2" t="s">
        <v>187</v>
      </c>
      <c r="B11" s="3"/>
      <c r="C11" s="3" t="n">
        <v>46160</v>
      </c>
      <c r="D11" s="4" t="str">
        <f t="shared" si="60"/>
        <v/>
      </c>
      <c r="E11" s="5" t="n">
        <v>14602462.485532399</v>
      </c>
      <c r="F11" s="6" t="n">
        <v>48.229453692528402</v>
      </c>
      <c r="G11" s="7" t="n">
        <v>6481096.71674792</v>
      </c>
      <c r="H11" s="8" t="n">
        <v>21.405961788081001</v>
      </c>
      <c r="I11" s="12" t="n">
        <v>7150580.2180204997</v>
      </c>
      <c r="J11" s="13" t="n">
        <v>23.6171520961902</v>
      </c>
      <c r="K11" s="14" t="str">
        <f>=HYPERLINK("https://ucloud.univie.ac.at/index.php/f/1518571913","Open Cytogram")</f>
      </c>
      <c r="L11" s="9" t="s">
        <v>314</v>
      </c>
      <c r="M11" t="s">
        <v>14</v>
      </c>
      <c r="N11" t="s">
        <v>314</v>
      </c>
      <c r="O11" t="s">
        <v>183</v>
      </c>
    </row>
    <row r="12">
      <c r="A12" s="17" t="s">
        <v>314</v>
      </c>
      <c r="B12" s="18" t="n">
        <v>46189</v>
      </c>
      <c r="C12" s="18" t="n">
        <v>46160</v>
      </c>
      <c r="D12" s="19" t="n">
        <f t="shared" si="60"/>
        <v>29</v>
      </c>
      <c r="E12" s="20" t="n">
        <v>11485317.306605401</v>
      </c>
      <c r="F12" s="21" t="n">
        <v>50.221808815111601</v>
      </c>
      <c r="G12" s="22" t="n">
        <v>3843711.4052166999</v>
      </c>
      <c r="H12" s="23" t="n">
        <v>16.807384087006302</v>
      </c>
      <c r="I12" s="27" t="n">
        <v>6749812.4931966299</v>
      </c>
      <c r="J12" s="28" t="n">
        <v>29.514882655981701</v>
      </c>
      <c r="K12" s="24" t="str">
        <f>=HYPERLINK("https://ucloud.univie.ac.at/index.php/f/1525440666","Open Cytogram")</f>
      </c>
      <c r="L12" s="15" t="s">
        <v>314</v>
      </c>
      <c r="M12" s="16" t="s">
        <v>14</v>
      </c>
      <c r="N12" s="16" t="s">
        <v>314</v>
      </c>
      <c r="O12" s="16" t="s">
        <v>185</v>
      </c>
    </row>
    <row r="13">
      <c r="A13" s="2" t="s">
        <v>188</v>
      </c>
      <c r="B13" s="3"/>
      <c r="C13" s="3" t="n">
        <v>46160</v>
      </c>
      <c r="D13" s="4" t="str">
        <f t="shared" si="60"/>
        <v/>
      </c>
      <c r="E13" s="5" t="n">
        <v>7001652.8892101198</v>
      </c>
      <c r="F13" s="6" t="n">
        <v>55.516072600043699</v>
      </c>
      <c r="G13" s="7" t="n">
        <v>2524180.3276610798</v>
      </c>
      <c r="H13" s="8" t="n">
        <v>20.014213863984299</v>
      </c>
      <c r="I13" s="12" t="n">
        <v>2002934.6768247599</v>
      </c>
      <c r="J13" s="13" t="n">
        <v>15.8812595670238</v>
      </c>
      <c r="K13" s="14" t="str">
        <f>=HYPERLINK("https://ucloud.univie.ac.at/index.php/f/1518571913","Open Cytogram")</f>
      </c>
      <c r="L13" s="9" t="s">
        <v>314</v>
      </c>
      <c r="M13" t="s">
        <v>14</v>
      </c>
      <c r="N13" t="s">
        <v>314</v>
      </c>
      <c r="O13" t="s">
        <v>183</v>
      </c>
    </row>
    <row r="14">
      <c r="A14" s="17" t="s">
        <v>314</v>
      </c>
      <c r="B14" s="18" t="n">
        <v>46189</v>
      </c>
      <c r="C14" s="18" t="n">
        <v>46160</v>
      </c>
      <c r="D14" s="19" t="n">
        <f t="shared" si="60"/>
        <v>29</v>
      </c>
      <c r="E14" s="20" t="n">
        <v>10769729.443104001</v>
      </c>
      <c r="F14" s="21" t="n">
        <v>43.412136726396596</v>
      </c>
      <c r="G14" s="22" t="n">
        <v>6208564.1118414104</v>
      </c>
      <c r="H14" s="23" t="n">
        <v>25.026351453094399</v>
      </c>
      <c r="I14" s="27" t="n">
        <v>7562095.8385906303</v>
      </c>
      <c r="J14" s="28" t="n">
        <v>30.482357074737699</v>
      </c>
      <c r="K14" s="24" t="str">
        <f>=HYPERLINK("https://ucloud.univie.ac.at/index.php/f/1525440666","Open Cytogram")</f>
      </c>
      <c r="L14" s="15" t="s">
        <v>314</v>
      </c>
      <c r="M14" s="16" t="s">
        <v>14</v>
      </c>
      <c r="N14" s="16" t="s">
        <v>314</v>
      </c>
      <c r="O14" s="16" t="s">
        <v>185</v>
      </c>
    </row>
    <row r="15">
      <c r="A15" s="2" t="s">
        <v>189</v>
      </c>
      <c r="B15" s="3"/>
      <c r="C15" s="3" t="n">
        <v>46171</v>
      </c>
      <c r="D15" s="4" t="str">
        <f t="shared" si="60"/>
        <v/>
      </c>
      <c r="E15" s="5" t="n">
        <v>13349264.863097699</v>
      </c>
      <c r="F15" s="6" t="n">
        <v>35.537943433013403</v>
      </c>
      <c r="G15" s="7" t="n">
        <v>16077137.440750999</v>
      </c>
      <c r="H15" s="8" t="n">
        <v>42.799989871622799</v>
      </c>
      <c r="I15" s="12" t="n">
        <v>5068630.7413927699</v>
      </c>
      <c r="J15" s="13" t="n">
        <v>13.493530499075799</v>
      </c>
      <c r="K15" s="14" t="str">
        <f>=HYPERLINK("https://ucloud.univie.ac.at/index.php/f/1518571913","Open Cytogram")</f>
      </c>
      <c r="L15" s="9" t="s">
        <v>314</v>
      </c>
      <c r="M15" t="s">
        <v>14</v>
      </c>
      <c r="N15" t="s">
        <v>314</v>
      </c>
      <c r="O15" t="s">
        <v>183</v>
      </c>
    </row>
    <row r="16">
      <c r="A16" s="17" t="s">
        <v>314</v>
      </c>
      <c r="B16" s="18" t="n">
        <v>46189</v>
      </c>
      <c r="C16" s="18" t="n">
        <v>46171</v>
      </c>
      <c r="D16" s="19" t="n">
        <f t="shared" si="60"/>
        <v>18</v>
      </c>
      <c r="E16" s="20" t="n">
        <v>11256232.761381701</v>
      </c>
      <c r="F16" s="21" t="n">
        <v>40.989125577238198</v>
      </c>
      <c r="G16" s="22" t="n">
        <v>11308594.943147101</v>
      </c>
      <c r="H16" s="23" t="n">
        <v>41.179800387308198</v>
      </c>
      <c r="I16" s="27" t="n">
        <v>3896073.5869820998</v>
      </c>
      <c r="J16" s="28" t="n">
        <v>14.187397586771899</v>
      </c>
      <c r="K16" s="24" t="str">
        <f>=HYPERLINK("https://ucloud.univie.ac.at/index.php/f/1525440666","Open Cytogram")</f>
      </c>
      <c r="L16" s="15" t="s">
        <v>314</v>
      </c>
      <c r="M16" s="16" t="s">
        <v>14</v>
      </c>
      <c r="N16" s="16" t="s">
        <v>314</v>
      </c>
      <c r="O16" s="16" t="s">
        <v>185</v>
      </c>
    </row>
    <row r="17">
      <c r="A17" s="2" t="s">
        <v>190</v>
      </c>
      <c r="B17" s="3"/>
      <c r="C17" s="3" t="n">
        <v>46171</v>
      </c>
      <c r="D17" s="4" t="str">
        <f t="shared" si="60"/>
        <v/>
      </c>
      <c r="E17" s="5" t="n">
        <v>9884257.9591956697</v>
      </c>
      <c r="F17" s="6" t="n">
        <v>27.781639309201701</v>
      </c>
      <c r="G17" s="7" t="n">
        <v>19818926.394896101</v>
      </c>
      <c r="H17" s="8" t="n">
        <v>55.704967117574697</v>
      </c>
      <c r="I17" s="12" t="n">
        <v>2737383.9883145802</v>
      </c>
      <c r="J17" s="13" t="n">
        <v>7.6939528417900904</v>
      </c>
      <c r="K17" s="14" t="str">
        <f>=HYPERLINK("https://ucloud.univie.ac.at/index.php/f/1518571913","Open Cytogram")</f>
      </c>
      <c r="L17" s="9" t="s">
        <v>314</v>
      </c>
      <c r="M17" t="s">
        <v>14</v>
      </c>
      <c r="N17" t="s">
        <v>314</v>
      </c>
      <c r="O17" t="s">
        <v>183</v>
      </c>
    </row>
    <row r="18">
      <c r="A18" s="17" t="s">
        <v>314</v>
      </c>
      <c r="B18" s="18" t="n">
        <v>46189</v>
      </c>
      <c r="C18" s="18" t="n">
        <v>46171</v>
      </c>
      <c r="D18" s="19" t="n">
        <f t="shared" si="60"/>
        <v>18</v>
      </c>
      <c r="E18" s="20" t="n">
        <v>11155599.1933013</v>
      </c>
      <c r="F18" s="21" t="n">
        <v>42.791237760481998</v>
      </c>
      <c r="G18" s="22" t="n">
        <v>11222688.238688299</v>
      </c>
      <c r="H18" s="23" t="n">
        <v>43.048581471252803</v>
      </c>
      <c r="I18" s="27" t="n">
        <v>2809558.31534997</v>
      </c>
      <c r="J18" s="28" t="n">
        <v>10.777052473010301</v>
      </c>
      <c r="K18" s="24" t="str">
        <f>=HYPERLINK("https://ucloud.univie.ac.at/index.php/f/1525440666","Open Cytogram")</f>
      </c>
      <c r="L18" s="15" t="s">
        <v>314</v>
      </c>
      <c r="M18" s="16" t="s">
        <v>14</v>
      </c>
      <c r="N18" s="16" t="s">
        <v>314</v>
      </c>
      <c r="O18" s="16" t="s">
        <v>185</v>
      </c>
    </row>
    <row r="19">
      <c r="A19" s="17" t="s">
        <v>191</v>
      </c>
      <c r="B19" s="18" t="n">
        <v>46198</v>
      </c>
      <c r="C19" s="18" t="n">
        <v>46185</v>
      </c>
      <c r="D19" s="19" t="n">
        <f t="shared" si="60"/>
        <v>13</v>
      </c>
      <c r="E19" s="20" t="n">
        <v>7683435.0510742301</v>
      </c>
      <c r="F19" s="21" t="n">
        <v>29.984939399010301</v>
      </c>
      <c r="G19" s="22" t="n">
        <v>3172487.4535209602</v>
      </c>
      <c r="H19" s="23" t="n">
        <v>12.3807702421649</v>
      </c>
      <c r="I19" s="27" t="n">
        <v>13916922.660077799</v>
      </c>
      <c r="J19" s="28" t="n">
        <v>54.311395854748902</v>
      </c>
      <c r="K19" s="24" t="str">
        <f>=HYPERLINK("https://ucloud.univie.ac.at/index.php/f/1537345796","Open Cytogram")</f>
      </c>
      <c r="L19" s="15" t="s">
        <v>314</v>
      </c>
      <c r="M19" s="25" t="s">
        <v>14</v>
      </c>
      <c r="N19" s="25" t="s">
        <v>314</v>
      </c>
      <c r="O19" s="25" t="s">
        <v>192</v>
      </c>
    </row>
    <row r="20">
      <c r="A20" s="17" t="s">
        <v>193</v>
      </c>
      <c r="B20" s="18" t="n">
        <v>46198</v>
      </c>
      <c r="C20" s="18" t="n">
        <v>46185</v>
      </c>
      <c r="D20" s="19" t="n">
        <f t="shared" si="60"/>
        <v>13</v>
      </c>
      <c r="E20" s="20" t="n">
        <v>13216757.925693801</v>
      </c>
      <c r="F20" s="21" t="n">
        <v>37.176604378279201</v>
      </c>
      <c r="G20" s="22" t="n">
        <v>4472968.4081116198</v>
      </c>
      <c r="H20" s="23" t="n">
        <v>12.581737354940399</v>
      </c>
      <c r="I20" s="27" t="n">
        <v>16588942.4075693</v>
      </c>
      <c r="J20" s="28" t="n">
        <v>46.662014421958602</v>
      </c>
      <c r="K20" s="24" t="str">
        <f>=HYPERLINK("https://ucloud.univie.ac.at/index.php/f/1537345796","Open Cytogram")</f>
      </c>
      <c r="L20" s="15" t="s">
        <v>314</v>
      </c>
      <c r="M20" s="16" t="s">
        <v>14</v>
      </c>
      <c r="N20" s="16" t="s">
        <v>314</v>
      </c>
      <c r="O20" s="16" t="s">
        <v>192</v>
      </c>
    </row>
    <row r="21">
      <c r="A21" s="17" t="s">
        <v>194</v>
      </c>
      <c r="B21" s="18" t="n">
        <v>46198</v>
      </c>
      <c r="C21" s="18" t="n">
        <v>46185</v>
      </c>
      <c r="D21" s="19" t="n">
        <f t="shared" si="60"/>
        <v>13</v>
      </c>
      <c r="E21" s="20" t="n">
        <v>15672847.6041824</v>
      </c>
      <c r="F21" s="21" t="n">
        <v>43.722444376089399</v>
      </c>
      <c r="G21" s="22" t="n">
        <v>9024039.1816072799</v>
      </c>
      <c r="H21" s="23" t="n">
        <v>25.174305341946098</v>
      </c>
      <c r="I21" s="27" t="n">
        <v>9952997.9039985798</v>
      </c>
      <c r="J21" s="28" t="n">
        <v>27.7658156464678</v>
      </c>
      <c r="K21" s="24" t="str">
        <f>=HYPERLINK("https://ucloud.univie.ac.at/index.php/f/1537345796","Open Cytogram")</f>
      </c>
      <c r="L21" s="15" t="s">
        <v>314</v>
      </c>
      <c r="M21" s="25" t="s">
        <v>14</v>
      </c>
      <c r="N21" s="25" t="s">
        <v>314</v>
      </c>
      <c r="O21" s="25" t="s">
        <v>192</v>
      </c>
    </row>
    <row r="22">
      <c r="A22" s="17" t="s">
        <v>195</v>
      </c>
      <c r="B22" s="18" t="n">
        <v>46198</v>
      </c>
      <c r="C22" s="18" t="n">
        <v>46185</v>
      </c>
      <c r="D22" s="19" t="n">
        <f t="shared" si="60"/>
        <v>13</v>
      </c>
      <c r="E22" s="20" t="n">
        <v>7560308.9691746896</v>
      </c>
      <c r="F22" s="21" t="n">
        <v>34.699730094466901</v>
      </c>
      <c r="G22" s="22" t="n">
        <v>7099964.4390876098</v>
      </c>
      <c r="H22" s="23" t="n">
        <v>32.586875843454798</v>
      </c>
      <c r="I22" s="27" t="n">
        <v>5996423.95877905</v>
      </c>
      <c r="J22" s="28" t="n">
        <v>27.521929824561401</v>
      </c>
      <c r="K22" s="24" t="str">
        <f>=HYPERLINK("https://ucloud.univie.ac.at/index.php/f/1537345796","Open Cytogram")</f>
      </c>
      <c r="L22" s="15" t="s">
        <v>314</v>
      </c>
      <c r="M22" s="16" t="s">
        <v>14</v>
      </c>
      <c r="N22" s="16" t="s">
        <v>314</v>
      </c>
      <c r="O22" s="16" t="s">
        <v>192</v>
      </c>
    </row>
    <row r="23">
      <c r="A23" s="17" t="s">
        <v>196</v>
      </c>
      <c r="B23" s="18" t="n">
        <v>46198</v>
      </c>
      <c r="C23" s="18" t="n">
        <v>46185</v>
      </c>
      <c r="D23" s="19" t="n">
        <f t="shared" si="60"/>
        <v>13</v>
      </c>
      <c r="E23" s="20" t="n">
        <v>10653162.6383825</v>
      </c>
      <c r="F23" s="21" t="n">
        <v>37.642857142857103</v>
      </c>
      <c r="G23" s="22" t="n">
        <v>8898156.5456353594</v>
      </c>
      <c r="H23" s="23" t="n">
        <v>31.441558441558399</v>
      </c>
      <c r="I23" s="27" t="n">
        <v>7411455.0492663002</v>
      </c>
      <c r="J23" s="28" t="n">
        <v>26.1883116883117</v>
      </c>
      <c r="K23" s="24" t="str">
        <f>=HYPERLINK("https://ucloud.univie.ac.at/index.php/f/1537345796","Open Cytogram")</f>
      </c>
      <c r="L23" s="15" t="s">
        <v>314</v>
      </c>
      <c r="M23" s="25" t="s">
        <v>14</v>
      </c>
      <c r="N23" s="25" t="s">
        <v>314</v>
      </c>
      <c r="O23" s="25" t="s">
        <v>192</v>
      </c>
    </row>
    <row r="24">
      <c r="A24" s="17" t="s">
        <v>197</v>
      </c>
      <c r="B24" s="18" t="n">
        <v>46198</v>
      </c>
      <c r="C24" s="18" t="n">
        <v>46185</v>
      </c>
      <c r="D24" s="19" t="n">
        <f t="shared" si="60"/>
        <v>13</v>
      </c>
      <c r="E24" s="20" t="n">
        <v>18271359.243077099</v>
      </c>
      <c r="F24" s="21" t="n">
        <v>41.156138753207998</v>
      </c>
      <c r="G24" s="22" t="n">
        <v>13293022.588362901</v>
      </c>
      <c r="H24" s="23" t="n">
        <v>29.942462124348001</v>
      </c>
      <c r="I24" s="27" t="n">
        <v>10423449.799017699</v>
      </c>
      <c r="J24" s="28" t="n">
        <v>23.478764798410499</v>
      </c>
      <c r="K24" s="24" t="str">
        <f>=HYPERLINK("https://ucloud.univie.ac.at/index.php/f/1537345796","Open Cytogram")</f>
      </c>
      <c r="L24" s="15" t="s">
        <v>314</v>
      </c>
      <c r="M24" s="16" t="s">
        <v>14</v>
      </c>
      <c r="N24" s="16" t="s">
        <v>314</v>
      </c>
      <c r="O24" s="16" t="s">
        <v>192</v>
      </c>
    </row>
    <row r="25">
      <c r="A25" s="17" t="s">
        <v>198</v>
      </c>
      <c r="B25" s="18" t="n">
        <v>46198</v>
      </c>
      <c r="C25" s="18" t="n">
        <v>46185</v>
      </c>
      <c r="D25" s="19" t="n">
        <f t="shared" si="60"/>
        <v>13</v>
      </c>
      <c r="E25" s="20" t="n">
        <v>15037002.464820599</v>
      </c>
      <c r="F25" s="21" t="n">
        <v>47.551939561237802</v>
      </c>
      <c r="G25" s="22" t="n">
        <v>8994635.9381685797</v>
      </c>
      <c r="H25" s="23" t="n">
        <v>28.443992445154699</v>
      </c>
      <c r="I25" s="27" t="n">
        <v>6098416.4594570296</v>
      </c>
      <c r="J25" s="28" t="n">
        <v>19.285195408978598</v>
      </c>
      <c r="K25" s="24" t="str">
        <f>=HYPERLINK("https://ucloud.univie.ac.at/index.php/f/1537345796","Open Cytogram")</f>
      </c>
      <c r="L25" s="15" t="s">
        <v>314</v>
      </c>
      <c r="M25" s="25" t="s">
        <v>14</v>
      </c>
      <c r="N25" s="25" t="s">
        <v>314</v>
      </c>
      <c r="O25" s="25" t="s">
        <v>192</v>
      </c>
    </row>
    <row r="26">
      <c r="A26" s="2" t="s">
        <v>199</v>
      </c>
      <c r="B26" s="3" t="n">
        <v>46204</v>
      </c>
      <c r="C26" s="3" t="n">
        <v>46199</v>
      </c>
      <c r="D26" s="4" t="n">
        <f t="shared" si="60"/>
        <v>5</v>
      </c>
      <c r="E26" s="5" t="n">
        <v>8988706.3500075191</v>
      </c>
      <c r="F26" s="6" t="n">
        <v>39.345469147369798</v>
      </c>
      <c r="G26" s="7" t="n">
        <v>8714514.3663195893</v>
      </c>
      <c r="H26" s="8" t="n">
        <v>38.145272832731003</v>
      </c>
      <c r="I26" s="12" t="n">
        <v>3585391.4595624502</v>
      </c>
      <c r="J26" s="13" t="n">
        <v>15.6940168652122</v>
      </c>
      <c r="K26" s="14" t="str">
        <f>=HYPERLINK("https://ucloud.univie.ac.at/index.php/f/1543029432","Open Cytogram")</f>
      </c>
      <c r="L26" s="9" t="s">
        <v>314</v>
      </c>
      <c r="M26" s="10" t="s">
        <v>14</v>
      </c>
      <c r="N26" s="10" t="s">
        <v>314</v>
      </c>
      <c r="O26" s="10" t="s">
        <v>200</v>
      </c>
    </row>
    <row r="27">
      <c r="A27" s="2" t="s">
        <v>314</v>
      </c>
      <c r="B27" s="3" t="n">
        <v>46211</v>
      </c>
      <c r="C27" s="3" t="n">
        <v>46199</v>
      </c>
      <c r="D27" s="4" t="n">
        <f t="shared" si="60"/>
        <v>12</v>
      </c>
      <c r="E27" s="5" t="n">
        <v>16069952.4549207</v>
      </c>
      <c r="F27" s="6" t="n">
        <v>58.399999999999999</v>
      </c>
      <c r="G27" s="7" t="n">
        <v>5722164.5448620496</v>
      </c>
      <c r="H27" s="8" t="n">
        <v>20.794984326018799</v>
      </c>
      <c r="I27" s="12" t="n">
        <v>4644255.5941777099</v>
      </c>
      <c r="J27" s="13" t="n">
        <v>16.877742946708501</v>
      </c>
      <c r="K27" s="14" t="str">
        <f>=HYPERLINK("https://ucloud.univie.ac.at/index.php/f/1547934963","Open Cytogram")</f>
      </c>
      <c r="L27" s="9" t="s">
        <v>314</v>
      </c>
      <c r="M27" t="s">
        <v>14</v>
      </c>
      <c r="N27" t="s">
        <v>314</v>
      </c>
      <c r="O27" t="s">
        <v>201</v>
      </c>
    </row>
    <row r="28">
      <c r="A28" s="17" t="s">
        <v>314</v>
      </c>
      <c r="B28" s="18" t="n">
        <v>46224</v>
      </c>
      <c r="C28" s="18" t="n">
        <v>46199</v>
      </c>
      <c r="D28" s="19" t="n">
        <f t="shared" si="60"/>
        <v>25</v>
      </c>
      <c r="E28" s="20" t="n">
        <v>5521098.6595174298</v>
      </c>
      <c r="F28" s="21" t="n">
        <v>28.865383921158099</v>
      </c>
      <c r="G28" s="22" t="n">
        <v>2732930.02680965</v>
      </c>
      <c r="H28" s="23" t="n">
        <v>14.2882928414137</v>
      </c>
      <c r="I28" s="27" t="n">
        <v>9856638.7399463803</v>
      </c>
      <c r="J28" s="28" t="n">
        <v>51.532435652142503</v>
      </c>
      <c r="K28" s="24" t="str">
        <f>=HYPERLINK("https://ucloud.univie.ac.at/index.php/f/1556102618","Open Cytogram")</f>
      </c>
      <c r="L28" s="15" t="s">
        <v>314</v>
      </c>
      <c r="M28" s="16" t="s">
        <v>14</v>
      </c>
      <c r="N28" s="16" t="s">
        <v>314</v>
      </c>
      <c r="O28" s="16" t="s">
        <v>202</v>
      </c>
    </row>
    <row r="29">
      <c r="A29" s="2" t="s">
        <v>203</v>
      </c>
      <c r="B29" s="3" t="n">
        <v>46204</v>
      </c>
      <c r="C29" s="3" t="n">
        <v>46199</v>
      </c>
      <c r="D29" s="4" t="n">
        <f t="shared" si="60"/>
        <v>5</v>
      </c>
      <c r="E29" s="5" t="n">
        <v>14858723.6114775</v>
      </c>
      <c r="F29" s="6" t="n">
        <v>56.256993659082397</v>
      </c>
      <c r="G29" s="7" t="n">
        <v>7602175.8463054299</v>
      </c>
      <c r="H29" s="8" t="n">
        <v>28.782792490364301</v>
      </c>
      <c r="I29" s="12" t="n">
        <v>2026152.2665963101</v>
      </c>
      <c r="J29" s="13" t="n">
        <v>7.67126694019644</v>
      </c>
      <c r="K29" s="14" t="str">
        <f>=HYPERLINK("https://ucloud.univie.ac.at/index.php/f/1543029432","Open Cytogram")</f>
      </c>
      <c r="L29" s="9" t="s">
        <v>314</v>
      </c>
      <c r="M29" t="s">
        <v>14</v>
      </c>
      <c r="N29" t="s">
        <v>314</v>
      </c>
      <c r="O29" t="s">
        <v>200</v>
      </c>
    </row>
    <row r="30">
      <c r="A30" s="2" t="s">
        <v>314</v>
      </c>
      <c r="B30" s="3" t="n">
        <v>46211</v>
      </c>
      <c r="C30" s="3" t="n">
        <v>46199</v>
      </c>
      <c r="D30" s="4" t="n">
        <f t="shared" si="60"/>
        <v>12</v>
      </c>
      <c r="E30" s="5" t="n">
        <v>6502885.0817040196</v>
      </c>
      <c r="F30" s="6" t="n">
        <v>30.134095405583601</v>
      </c>
      <c r="G30" s="7" t="n">
        <v>11556994.9197894</v>
      </c>
      <c r="H30" s="8" t="n">
        <v>53.554627390635297</v>
      </c>
      <c r="I30" s="12" t="n">
        <v>2910833.2989010699</v>
      </c>
      <c r="J30" s="13" t="n">
        <v>13.4886788305122</v>
      </c>
      <c r="K30" s="14" t="str">
        <f>=HYPERLINK("https://ucloud.univie.ac.at/index.php/f/1547934963","Open Cytogram")</f>
      </c>
      <c r="L30" s="9" t="s">
        <v>314</v>
      </c>
      <c r="M30" s="10" t="s">
        <v>14</v>
      </c>
      <c r="N30" s="10" t="s">
        <v>314</v>
      </c>
      <c r="O30" s="10" t="s">
        <v>201</v>
      </c>
    </row>
    <row r="31">
      <c r="A31" s="2" t="s">
        <v>314</v>
      </c>
      <c r="B31" s="3" t="n">
        <v>46224</v>
      </c>
      <c r="C31" s="3" t="n">
        <v>46199</v>
      </c>
      <c r="D31" s="4" t="n">
        <f t="shared" si="60"/>
        <v>25</v>
      </c>
      <c r="E31" s="5" t="n">
        <v>13041518.3748003</v>
      </c>
      <c r="F31" s="6" t="n">
        <v>48.512946116165203</v>
      </c>
      <c r="G31" s="7" t="n">
        <v>8024319.7443506103</v>
      </c>
      <c r="H31" s="8" t="n">
        <v>29.849545136459099</v>
      </c>
      <c r="I31" s="12" t="n">
        <v>3963718.6030586599</v>
      </c>
      <c r="J31" s="13" t="n">
        <v>14.744576627011901</v>
      </c>
      <c r="K31" s="14" t="str">
        <f>=HYPERLINK("https://ucloud.univie.ac.at/index.php/f/1556102618","Open Cytogram")</f>
      </c>
      <c r="L31" s="9" t="s">
        <v>314</v>
      </c>
      <c r="M31" t="s">
        <v>14</v>
      </c>
      <c r="N31" t="s">
        <v>314</v>
      </c>
      <c r="O31" t="s">
        <v>202</v>
      </c>
    </row>
    <row r="32">
      <c r="A32" s="17" t="s">
        <v>314</v>
      </c>
      <c r="B32" s="18" t="n">
        <v>46231</v>
      </c>
      <c r="C32" s="18"/>
      <c r="D32" s="19" t="str">
        <f t="shared" si="60"/>
        <v/>
      </c>
      <c r="E32" s="20" t="n">
        <v>16758471.2253848</v>
      </c>
      <c r="F32" s="21" t="n">
        <v>49.180327868852501</v>
      </c>
      <c r="G32" s="22" t="n">
        <v>11021605.227551101</v>
      </c>
      <c r="H32" s="23" t="n">
        <v>32.344606583860802</v>
      </c>
      <c r="I32" s="27" t="n">
        <v>5365959.6072233804</v>
      </c>
      <c r="J32" s="28" t="n">
        <v>15.7472390688313</v>
      </c>
      <c r="K32" s="24" t="str">
        <f>=HYPERLINK("https://ucloud.univie.ac.at/index.php/f/1563063010","Open Cytogram")</f>
      </c>
      <c r="L32" s="15" t="s">
        <v>314</v>
      </c>
      <c r="M32" s="16" t="s">
        <v>14</v>
      </c>
      <c r="N32" s="16" t="s">
        <v>314</v>
      </c>
      <c r="O32" s="16" t="s">
        <v>204</v>
      </c>
    </row>
    <row r="33">
      <c r="A33" s="17" t="s">
        <v>205</v>
      </c>
      <c r="B33" s="18" t="n">
        <v>46238</v>
      </c>
      <c r="C33" s="18"/>
      <c r="D33" s="19" t="str">
        <f t="shared" si="60"/>
        <v/>
      </c>
      <c r="E33" s="20" t="n">
        <v>1617833.9367967299</v>
      </c>
      <c r="F33" s="21" t="n">
        <v>41.820480404551198</v>
      </c>
      <c r="G33" s="22" t="n">
        <v>1237339.7400531201</v>
      </c>
      <c r="H33" s="23" t="n">
        <v>31.9848293299621</v>
      </c>
      <c r="I33" s="27" t="n">
        <v>718928.62366722699</v>
      </c>
      <c r="J33" s="28" t="n">
        <v>18.5840707964602</v>
      </c>
      <c r="K33" s="24" t="str">
        <f>=HYPERLINK("https://ucloud.univie.ac.at/index.php/f/1567856234","Open Cytogram")</f>
      </c>
      <c r="L33" s="15" t="s">
        <v>314</v>
      </c>
      <c r="M33" s="25" t="s">
        <v>14</v>
      </c>
      <c r="N33" s="25" t="s">
        <v>314</v>
      </c>
      <c r="O33" s="25" t="s">
        <v>206</v>
      </c>
    </row>
    <row r="34">
      <c r="A34" s="17" t="s">
        <v>207</v>
      </c>
      <c r="B34" s="18" t="n">
        <v>46238</v>
      </c>
      <c r="C34" s="18"/>
      <c r="D34" s="19" t="str">
        <f t="shared" si="60"/>
        <v/>
      </c>
      <c r="E34" s="20" t="n">
        <v>17391748.120530501</v>
      </c>
      <c r="F34" s="21" t="n">
        <v>52.603762948347502</v>
      </c>
      <c r="G34" s="22" t="n">
        <v>11740497.7935334</v>
      </c>
      <c r="H34" s="23" t="n">
        <v>35.5107697366876</v>
      </c>
      <c r="I34" s="27" t="n">
        <v>2787183.9251879398</v>
      </c>
      <c r="J34" s="28" t="n">
        <v>8.4302257299227197</v>
      </c>
      <c r="K34" s="24" t="str">
        <f>=HYPERLINK("https://ucloud.univie.ac.at/index.php/f/1567856234","Open Cytogram")</f>
      </c>
      <c r="L34" s="15" t="s">
        <v>314</v>
      </c>
      <c r="M34" s="16" t="s">
        <v>14</v>
      </c>
      <c r="N34" s="16" t="s">
        <v>314</v>
      </c>
      <c r="O34" s="16" t="s">
        <v>206</v>
      </c>
    </row>
    <row r="35">
      <c r="A35" s="17" t="s">
        <v>208</v>
      </c>
      <c r="B35" s="18" t="n">
        <v>46153</v>
      </c>
      <c r="C35" s="18" t="n">
        <v>46136</v>
      </c>
      <c r="D35" s="19" t="n">
        <f t="shared" si="60"/>
        <v>17</v>
      </c>
      <c r="E35" s="20" t="n">
        <v>5679729.6965138102</v>
      </c>
      <c r="F35" s="21" t="n">
        <v>45.220200885017903</v>
      </c>
      <c r="G35" s="22" t="n">
        <v>3942198.2213221402</v>
      </c>
      <c r="H35" s="23" t="n">
        <v>31.386528060686899</v>
      </c>
      <c r="I35" s="27" t="n">
        <v>2216576.7105453499</v>
      </c>
      <c r="J35" s="28" t="n">
        <v>17.647678583971299</v>
      </c>
      <c r="K35" s="24" t="str">
        <f>=HYPERLINK("https://ucloud.univie.ac.at/index.php/f/1514656058","Open Cytogram")</f>
      </c>
      <c r="L35" s="15" t="s">
        <v>314</v>
      </c>
      <c r="M35" s="25" t="s">
        <v>14</v>
      </c>
      <c r="N35" s="25" t="s">
        <v>314</v>
      </c>
      <c r="O35" s="25" t="s">
        <v>178</v>
      </c>
    </row>
    <row r="36">
      <c r="A36" s="17" t="s">
        <v>209</v>
      </c>
      <c r="B36" s="18" t="n">
        <v>46183</v>
      </c>
      <c r="C36" s="18" t="n">
        <v>46171</v>
      </c>
      <c r="D36" s="19" t="n">
        <f t="shared" si="60"/>
        <v>12</v>
      </c>
      <c r="E36" s="20" t="n">
        <v>10981874.749506701</v>
      </c>
      <c r="F36" s="21" t="n">
        <v>30.740967544396799</v>
      </c>
      <c r="G36" s="22" t="n">
        <v>20331591.429538701</v>
      </c>
      <c r="H36" s="23" t="n">
        <v>56.913123352591903</v>
      </c>
      <c r="I36" s="27" t="n">
        <v>3520173.08573741</v>
      </c>
      <c r="J36" s="28" t="n">
        <v>9.8538299741739692</v>
      </c>
      <c r="K36" s="24" t="str">
        <f>=HYPERLINK("https://ucloud.univie.ac.at/index.php/f/1518571913","Open Cytogram")</f>
      </c>
      <c r="L36" s="15" t="s">
        <v>314</v>
      </c>
      <c r="M36" s="16" t="s">
        <v>14</v>
      </c>
      <c r="N36" s="16" t="s">
        <v>314</v>
      </c>
      <c r="O36" s="16" t="s">
        <v>183</v>
      </c>
    </row>
    <row r="37">
      <c r="A37" s="2" t="s">
        <v>210</v>
      </c>
      <c r="B37" s="3" t="n">
        <v>46183</v>
      </c>
      <c r="C37" s="3" t="n">
        <v>46171</v>
      </c>
      <c r="D37" s="4" t="n">
        <f t="shared" si="60"/>
        <v>12</v>
      </c>
      <c r="E37" s="5" t="n">
        <v>10368388.7618545</v>
      </c>
      <c r="F37" s="6" t="n">
        <v>29.792292976222999</v>
      </c>
      <c r="G37" s="7" t="n">
        <v>19740932.827473599</v>
      </c>
      <c r="H37" s="8" t="n">
        <v>56.723148401202501</v>
      </c>
      <c r="I37" s="12" t="n">
        <v>3775078.8914595498</v>
      </c>
      <c r="J37" s="13" t="n">
        <v>10.8472260180377</v>
      </c>
      <c r="K37" s="14" t="str">
        <f>=HYPERLINK("https://ucloud.univie.ac.at/index.php/f/1518571913","Open Cytogram")</f>
      </c>
      <c r="L37" s="9" t="s">
        <v>314</v>
      </c>
      <c r="M37" t="s">
        <v>14</v>
      </c>
      <c r="N37" t="s">
        <v>314</v>
      </c>
      <c r="O37" t="s">
        <v>183</v>
      </c>
    </row>
    <row r="38">
      <c r="A38" s="17" t="s">
        <v>314</v>
      </c>
      <c r="B38" s="18" t="n">
        <v>46189</v>
      </c>
      <c r="C38" s="18" t="n">
        <v>46171</v>
      </c>
      <c r="D38" s="19" t="n">
        <f t="shared" si="60"/>
        <v>18</v>
      </c>
      <c r="E38" s="20" t="n">
        <v>10094062.5575359</v>
      </c>
      <c r="F38" s="21" t="n">
        <v>46.130528636384497</v>
      </c>
      <c r="G38" s="22" t="n">
        <v>7803703.2814880898</v>
      </c>
      <c r="H38" s="23" t="n">
        <v>35.663436366141603</v>
      </c>
      <c r="I38" s="27" t="n">
        <v>3187810.2780270702</v>
      </c>
      <c r="J38" s="28" t="n">
        <v>14.568502273458</v>
      </c>
      <c r="K38" s="24" t="str">
        <f>=HYPERLINK("https://ucloud.univie.ac.at/index.php/f/1525440666","Open Cytogram")</f>
      </c>
      <c r="L38" s="15" t="s">
        <v>314</v>
      </c>
      <c r="M38" s="16" t="s">
        <v>14</v>
      </c>
      <c r="N38" s="16" t="s">
        <v>314</v>
      </c>
      <c r="O38" s="16" t="s">
        <v>185</v>
      </c>
    </row>
    <row r="39">
      <c r="A39" s="2" t="s">
        <v>211</v>
      </c>
      <c r="B39" s="3" t="n">
        <v>46183</v>
      </c>
      <c r="C39" s="3" t="n">
        <v>46171</v>
      </c>
      <c r="D39" s="4" t="n">
        <f t="shared" si="60"/>
        <v>12</v>
      </c>
      <c r="E39" s="5" t="n">
        <v>0</v>
      </c>
      <c r="F39" s="6" t="n">
        <v>0</v>
      </c>
      <c r="G39" s="7" t="n">
        <v>9818312.1786108408</v>
      </c>
      <c r="H39" s="8" t="n">
        <v>57.849510573115197</v>
      </c>
      <c r="I39" s="12" t="n">
        <v>6667498.8735528896</v>
      </c>
      <c r="J39" s="13" t="n">
        <v>39.284913696480601</v>
      </c>
      <c r="K39" s="14" t="str">
        <f>=HYPERLINK("https://ucloud.univie.ac.at/index.php/f/1518571913","Open Cytogram")</f>
      </c>
      <c r="L39" s="9" t="s">
        <v>314</v>
      </c>
      <c r="M39" t="s">
        <v>14</v>
      </c>
      <c r="N39" t="s">
        <v>314</v>
      </c>
      <c r="O39" t="s">
        <v>183</v>
      </c>
    </row>
    <row r="40">
      <c r="A40" s="17" t="s">
        <v>314</v>
      </c>
      <c r="B40" s="18" t="n">
        <v>46189</v>
      </c>
      <c r="C40" s="18" t="n">
        <v>46171</v>
      </c>
      <c r="D40" s="19" t="n">
        <f t="shared" si="60"/>
        <v>18</v>
      </c>
      <c r="E40" s="20" t="n">
        <v>10046891.2026459</v>
      </c>
      <c r="F40" s="21" t="n">
        <v>32.3244261047234</v>
      </c>
      <c r="G40" s="22" t="n">
        <v>7309320.3643219098</v>
      </c>
      <c r="H40" s="23" t="n">
        <v>23.516686030207101</v>
      </c>
      <c r="I40" s="27" t="n">
        <v>13120043.2740507</v>
      </c>
      <c r="J40" s="28" t="n">
        <v>42.211850486759303</v>
      </c>
      <c r="K40" s="24" t="str">
        <f>=HYPERLINK("https://ucloud.univie.ac.at/index.php/f/1525440666","Open Cytogram")</f>
      </c>
      <c r="L40" s="15" t="s">
        <v>314</v>
      </c>
      <c r="M40" s="16" t="s">
        <v>14</v>
      </c>
      <c r="N40" s="16" t="s">
        <v>314</v>
      </c>
      <c r="O40" s="16" t="s">
        <v>185</v>
      </c>
    </row>
    <row r="41">
      <c r="A41" s="2" t="s">
        <v>212</v>
      </c>
      <c r="B41" s="3" t="n">
        <v>46183</v>
      </c>
      <c r="C41" s="3" t="n">
        <v>46171</v>
      </c>
      <c r="D41" s="4" t="n">
        <f t="shared" si="60"/>
        <v>12</v>
      </c>
      <c r="E41" s="5" t="n">
        <v>10942877.9657954</v>
      </c>
      <c r="F41" s="6" t="n">
        <v>52.395482284361101</v>
      </c>
      <c r="G41" s="7" t="n">
        <v>4049958.6595703601</v>
      </c>
      <c r="H41" s="8" t="n">
        <v>19.391565716367602</v>
      </c>
      <c r="I41" s="12" t="n">
        <v>4493190.3963857098</v>
      </c>
      <c r="J41" s="13" t="n">
        <v>21.513799070953599</v>
      </c>
      <c r="K41" s="14" t="str">
        <f>=HYPERLINK("https://ucloud.univie.ac.at/index.php/f/1518571913","Open Cytogram")</f>
      </c>
      <c r="L41" s="9" t="s">
        <v>314</v>
      </c>
      <c r="M41" t="s">
        <v>14</v>
      </c>
      <c r="N41" t="s">
        <v>314</v>
      </c>
      <c r="O41" t="s">
        <v>183</v>
      </c>
    </row>
    <row r="42">
      <c r="A42" s="17" t="s">
        <v>314</v>
      </c>
      <c r="B42" s="18" t="n">
        <v>46189</v>
      </c>
      <c r="C42" s="18" t="n">
        <v>46171</v>
      </c>
      <c r="D42" s="19" t="n">
        <f t="shared" si="60"/>
        <v>18</v>
      </c>
      <c r="E42" s="20" t="n">
        <v>9627278.0130236</v>
      </c>
      <c r="F42" s="21" t="n">
        <v>38.8183287698347</v>
      </c>
      <c r="G42" s="22" t="n">
        <v>2556747.1565138702</v>
      </c>
      <c r="H42" s="23" t="n">
        <v>10.3091083033682</v>
      </c>
      <c r="I42" s="27" t="n">
        <v>10543616.1939182</v>
      </c>
      <c r="J42" s="28" t="n">
        <v>42.513113185761902</v>
      </c>
      <c r="K42" s="24" t="str">
        <f>=HYPERLINK("https://ucloud.univie.ac.at/index.php/f/1525440666","Open Cytogram")</f>
      </c>
      <c r="L42" s="15" t="s">
        <v>314</v>
      </c>
      <c r="M42" s="16" t="s">
        <v>14</v>
      </c>
      <c r="N42" s="16" t="s">
        <v>314</v>
      </c>
      <c r="O42" s="16" t="s">
        <v>185</v>
      </c>
    </row>
    <row r="43">
      <c r="A43" s="2" t="s">
        <v>213</v>
      </c>
      <c r="B43" s="3" t="n">
        <v>46198</v>
      </c>
      <c r="C43" s="3" t="n">
        <v>46185</v>
      </c>
      <c r="D43" s="4" t="n">
        <f t="shared" si="60"/>
        <v>13</v>
      </c>
      <c r="E43" s="5" t="n">
        <v>18394485.324976701</v>
      </c>
      <c r="F43" s="6" t="n">
        <v>55.066842713318998</v>
      </c>
      <c r="G43" s="7" t="n">
        <v>8231989.3114774004</v>
      </c>
      <c r="H43" s="8" t="n">
        <v>24.6437806018595</v>
      </c>
      <c r="I43" s="12" t="n">
        <v>5677582.5377406897</v>
      </c>
      <c r="J43" s="13" t="n">
        <v>16.996754139847098</v>
      </c>
      <c r="K43" s="14" t="str">
        <f>=HYPERLINK("https://ucloud.univie.ac.at/index.php/f/1537345796","Open Cytogram")</f>
      </c>
      <c r="L43" s="9" t="s">
        <v>314</v>
      </c>
      <c r="M43" t="s">
        <v>14</v>
      </c>
      <c r="N43" t="s">
        <v>314</v>
      </c>
      <c r="O43" t="s">
        <v>192</v>
      </c>
    </row>
    <row r="44">
      <c r="A44" s="17" t="s">
        <v>314</v>
      </c>
      <c r="B44" s="18" t="n">
        <v>46211</v>
      </c>
      <c r="C44" s="18" t="n">
        <v>46185</v>
      </c>
      <c r="D44" s="19" t="n">
        <f t="shared" si="60"/>
        <v>26</v>
      </c>
      <c r="E44" s="20" t="n">
        <v>10417519.433485599</v>
      </c>
      <c r="F44" s="21" t="n">
        <v>51.561399389528098</v>
      </c>
      <c r="G44" s="22" t="n">
        <v>4979156.82941096</v>
      </c>
      <c r="H44" s="23" t="n">
        <v>24.644282695468402</v>
      </c>
      <c r="I44" s="27" t="n">
        <v>4071181.7749623498</v>
      </c>
      <c r="J44" s="28" t="n">
        <v>20.150270016435801</v>
      </c>
      <c r="K44" s="24" t="str">
        <f>=HYPERLINK("https://ucloud.univie.ac.at/index.php/f/1547934963","Open Cytogram")</f>
      </c>
      <c r="L44" s="15" t="s">
        <v>314</v>
      </c>
      <c r="M44" s="16" t="s">
        <v>14</v>
      </c>
      <c r="N44" s="16" t="s">
        <v>314</v>
      </c>
      <c r="O44" s="16" t="s">
        <v>201</v>
      </c>
    </row>
    <row r="45">
      <c r="A45" s="2" t="s">
        <v>214</v>
      </c>
      <c r="B45" s="3" t="n">
        <v>46198</v>
      </c>
      <c r="C45" s="3" t="n">
        <v>46185</v>
      </c>
      <c r="D45" s="4" t="n">
        <f t="shared" si="60"/>
        <v>13</v>
      </c>
      <c r="E45" s="5" t="n">
        <v>6344611.3414265402</v>
      </c>
      <c r="F45" s="6" t="n">
        <v>48.4312148028962</v>
      </c>
      <c r="G45" s="7" t="n">
        <v>2425338.3470860198</v>
      </c>
      <c r="H45" s="8" t="n">
        <v>18.513676588897798</v>
      </c>
      <c r="I45" s="12" t="n">
        <v>3508902.0572860502</v>
      </c>
      <c r="J45" s="13" t="n">
        <v>26.784995977473901</v>
      </c>
      <c r="K45" s="14" t="str">
        <f>=HYPERLINK("https://ucloud.univie.ac.at/index.php/f/1537345796","Open Cytogram")</f>
      </c>
      <c r="L45" s="9" t="s">
        <v>314</v>
      </c>
      <c r="M45" t="s">
        <v>14</v>
      </c>
      <c r="N45" t="s">
        <v>314</v>
      </c>
      <c r="O45" t="s">
        <v>192</v>
      </c>
    </row>
    <row r="46">
      <c r="A46" s="17" t="s">
        <v>314</v>
      </c>
      <c r="B46" s="18" t="n">
        <v>46211</v>
      </c>
      <c r="C46" s="18" t="n">
        <v>46185</v>
      </c>
      <c r="D46" s="19" t="n">
        <f t="shared" si="60"/>
        <v>26</v>
      </c>
      <c r="E46" s="20" t="n">
        <v>12534230.3493423</v>
      </c>
      <c r="F46" s="21" t="n">
        <v>47.898915920379999</v>
      </c>
      <c r="G46" s="22" t="n">
        <v>5533239.8302448001</v>
      </c>
      <c r="H46" s="23" t="n">
        <v>21.1449911170733</v>
      </c>
      <c r="I46" s="27" t="n">
        <v>7323573.0880760597</v>
      </c>
      <c r="J46" s="28" t="n">
        <v>27.9866574815997</v>
      </c>
      <c r="K46" s="24" t="str">
        <f>=HYPERLINK("https://ucloud.univie.ac.at/index.php/f/1547934963","Open Cytogram")</f>
      </c>
      <c r="L46" s="15" t="s">
        <v>314</v>
      </c>
      <c r="M46" s="16" t="s">
        <v>14</v>
      </c>
      <c r="N46" s="16" t="s">
        <v>314</v>
      </c>
      <c r="O46" s="16" t="s">
        <v>201</v>
      </c>
    </row>
    <row r="47">
      <c r="A47" s="17" t="s">
        <v>66</v>
      </c>
      <c r="B47" s="18" t="n">
        <v>46204</v>
      </c>
      <c r="C47" s="18"/>
      <c r="D47" s="19" t="str">
        <f t="shared" si="60"/>
        <v/>
      </c>
      <c r="E47" s="20" t="n">
        <v>4176727.9321200801</v>
      </c>
      <c r="F47" s="21" t="n">
        <v>33.484417585021902</v>
      </c>
      <c r="G47" s="22" t="n">
        <v>6505097.6304558003</v>
      </c>
      <c r="H47" s="23" t="n">
        <v>52.150728759331699</v>
      </c>
      <c r="I47" s="27" t="n">
        <v>1136655.32329482</v>
      </c>
      <c r="J47" s="28" t="n">
        <v>9.11245408223723</v>
      </c>
      <c r="K47" s="24" t="str">
        <f>=HYPERLINK("https://ucloud.univie.ac.at/index.php/f/1543029432","Open Cytogram")</f>
      </c>
      <c r="L47" s="15" t="s">
        <v>314</v>
      </c>
      <c r="M47" s="25" t="s">
        <v>14</v>
      </c>
      <c r="N47" s="25" t="s">
        <v>314</v>
      </c>
      <c r="O47" s="25" t="s">
        <v>200</v>
      </c>
    </row>
    <row r="48">
      <c r="A48" s="2" t="s">
        <v>215</v>
      </c>
      <c r="B48" s="3" t="n">
        <v>46204</v>
      </c>
      <c r="C48" s="3" t="n">
        <v>46197</v>
      </c>
      <c r="D48" s="4" t="n">
        <f t="shared" si="60"/>
        <v>7</v>
      </c>
      <c r="E48" s="5" t="n">
        <v>2020645.9072261199</v>
      </c>
      <c r="F48" s="6" t="n">
        <v>55.088145449192197</v>
      </c>
      <c r="G48" s="7" t="n">
        <v>114613.066223609</v>
      </c>
      <c r="H48" s="8" t="n">
        <v>3.1246549630120399</v>
      </c>
      <c r="I48" s="12" t="n">
        <v>1215924.4846596499</v>
      </c>
      <c r="J48" s="13" t="n">
        <v>33.149313606418602</v>
      </c>
      <c r="K48" s="14" t="str">
        <f>=HYPERLINK("https://ucloud.univie.ac.at/index.php/f/1543029432","Open Cytogram")</f>
      </c>
      <c r="L48" s="9" t="s">
        <v>314</v>
      </c>
      <c r="M48" s="10" t="s">
        <v>14</v>
      </c>
      <c r="N48" s="10" t="s">
        <v>314</v>
      </c>
      <c r="O48" s="10" t="s">
        <v>200</v>
      </c>
    </row>
    <row r="49">
      <c r="A49" s="17" t="s">
        <v>314</v>
      </c>
      <c r="B49" s="18" t="n">
        <v>46211</v>
      </c>
      <c r="C49" s="18" t="n">
        <v>46197</v>
      </c>
      <c r="D49" s="19" t="n">
        <f t="shared" si="60"/>
        <v>14</v>
      </c>
      <c r="E49" s="20" t="n">
        <v>1338640.8988340001</v>
      </c>
      <c r="F49" s="21" t="n">
        <v>30.214205186020301</v>
      </c>
      <c r="G49" s="22" t="n">
        <v>2287877.1541116498</v>
      </c>
      <c r="H49" s="23" t="n">
        <v>51.639233370913203</v>
      </c>
      <c r="I49" s="27" t="n">
        <v>571619.643517024</v>
      </c>
      <c r="J49" s="28" t="n">
        <v>12.901916572717001</v>
      </c>
      <c r="K49" s="24" t="str">
        <f>=HYPERLINK("https://ucloud.univie.ac.at/index.php/f/1547934963","Open Cytogram")</f>
      </c>
      <c r="L49" s="15" t="s">
        <v>314</v>
      </c>
      <c r="M49" s="25" t="s">
        <v>14</v>
      </c>
      <c r="N49" s="25" t="s">
        <v>314</v>
      </c>
      <c r="O49" s="25" t="s">
        <v>201</v>
      </c>
    </row>
    <row r="50">
      <c r="A50" s="2" t="s">
        <v>216</v>
      </c>
      <c r="B50" s="3" t="n">
        <v>46204</v>
      </c>
      <c r="C50" s="3" t="n">
        <v>46197</v>
      </c>
      <c r="D50" s="4" t="n">
        <f t="shared" si="60"/>
        <v>7</v>
      </c>
      <c r="E50" s="5" t="n">
        <v>4696939.2596059004</v>
      </c>
      <c r="F50" s="6" t="n">
        <v>31.841896140690299</v>
      </c>
      <c r="G50" s="7" t="n">
        <v>5285585.6186385397</v>
      </c>
      <c r="H50" s="8" t="n">
        <v>35.832498358843303</v>
      </c>
      <c r="I50" s="12" t="n">
        <v>2822954.2707201699</v>
      </c>
      <c r="J50" s="13" t="n">
        <v>19.137615312856301</v>
      </c>
      <c r="K50" s="14" t="str">
        <f>=HYPERLINK("https://ucloud.univie.ac.at/index.php/f/1543029432","Open Cytogram")</f>
      </c>
      <c r="L50" s="9" t="s">
        <v>314</v>
      </c>
      <c r="M50" s="10" t="s">
        <v>14</v>
      </c>
      <c r="N50" s="10" t="s">
        <v>314</v>
      </c>
      <c r="O50" s="10" t="s">
        <v>200</v>
      </c>
    </row>
    <row r="51">
      <c r="A51" s="17" t="s">
        <v>314</v>
      </c>
      <c r="B51" s="18" t="n">
        <v>46211</v>
      </c>
      <c r="C51" s="18" t="n">
        <v>46197</v>
      </c>
      <c r="D51" s="19" t="n">
        <f t="shared" si="60"/>
        <v>14</v>
      </c>
      <c r="E51" s="20" t="n">
        <v>15863472.215653799</v>
      </c>
      <c r="F51" s="21" t="n">
        <v>70.346684617973693</v>
      </c>
      <c r="G51" s="22" t="n">
        <v>2749542.0144117698</v>
      </c>
      <c r="H51" s="23" t="n">
        <v>12.1928643554359</v>
      </c>
      <c r="I51" s="27" t="n">
        <v>3503815.96246468</v>
      </c>
      <c r="J51" s="28" t="n">
        <v>15.537697744867</v>
      </c>
      <c r="K51" s="24" t="str">
        <f>=HYPERLINK("https://ucloud.univie.ac.at/index.php/f/1547934963","Open Cytogram")</f>
      </c>
      <c r="L51" s="15" t="s">
        <v>314</v>
      </c>
      <c r="M51" s="25" t="s">
        <v>14</v>
      </c>
      <c r="N51" s="25" t="s">
        <v>314</v>
      </c>
      <c r="O51" s="25" t="s">
        <v>201</v>
      </c>
    </row>
    <row r="52">
      <c r="A52" s="2" t="s">
        <v>217</v>
      </c>
      <c r="B52" s="3" t="n">
        <v>46211</v>
      </c>
      <c r="C52" s="3" t="n">
        <v>46203</v>
      </c>
      <c r="D52" s="4" t="n">
        <f t="shared" si="60"/>
        <v>8</v>
      </c>
      <c r="E52" s="5" t="n">
        <v>9917176.3949311003</v>
      </c>
      <c r="F52" s="6" t="n">
        <v>38.067865751900598</v>
      </c>
      <c r="G52" s="7" t="n">
        <v>10588626.720744699</v>
      </c>
      <c r="H52" s="8" t="n">
        <v>40.6452809197107</v>
      </c>
      <c r="I52" s="12" t="n">
        <v>4941681.1748731202</v>
      </c>
      <c r="J52" s="13" t="n">
        <v>18.969033932875998</v>
      </c>
      <c r="K52" s="14" t="str">
        <f>=HYPERLINK("https://ucloud.univie.ac.at/index.php/f/1547934963","Open Cytogram")</f>
      </c>
      <c r="L52" s="9" t="s">
        <v>314</v>
      </c>
      <c r="M52" s="10" t="s">
        <v>14</v>
      </c>
      <c r="N52" s="10" t="s">
        <v>314</v>
      </c>
      <c r="O52" s="10" t="s">
        <v>201</v>
      </c>
    </row>
    <row r="53">
      <c r="A53" s="17" t="s">
        <v>314</v>
      </c>
      <c r="B53" s="18" t="n">
        <v>46218</v>
      </c>
      <c r="C53" s="18" t="n">
        <v>46203</v>
      </c>
      <c r="D53" s="19" t="n">
        <f t="shared" si="60"/>
        <v>15</v>
      </c>
      <c r="E53" s="20" t="n">
        <v>7306218.51586047</v>
      </c>
      <c r="F53" s="21" t="n">
        <v>39.933157431838197</v>
      </c>
      <c r="G53" s="22" t="n">
        <v>5682900.4736615401</v>
      </c>
      <c r="H53" s="23" t="n">
        <v>31.060686015831099</v>
      </c>
      <c r="I53" s="27" t="n">
        <v>4792070.9056982799</v>
      </c>
      <c r="J53" s="28" t="n">
        <v>26.191732629727401</v>
      </c>
      <c r="K53" s="24" t="str">
        <f>=HYPERLINK("https://ucloud.univie.ac.at/index.php/f/1552579888","Open Cytogram")</f>
      </c>
      <c r="L53" s="15" t="s">
        <v>314</v>
      </c>
      <c r="M53" s="25" t="s">
        <v>14</v>
      </c>
      <c r="N53" s="25" t="s">
        <v>314</v>
      </c>
      <c r="O53" s="25" t="s">
        <v>218</v>
      </c>
    </row>
    <row r="54">
      <c r="A54" s="2" t="s">
        <v>219</v>
      </c>
      <c r="B54" s="3" t="n">
        <v>46224</v>
      </c>
      <c r="C54" s="3"/>
      <c r="D54" s="4" t="str">
        <f t="shared" si="60"/>
        <v/>
      </c>
      <c r="E54" s="5" t="n">
        <v>4907259.6514745299</v>
      </c>
      <c r="F54" s="6" t="n">
        <v>28.405275779376499</v>
      </c>
      <c r="G54" s="7" t="n">
        <v>6441511.9302949104</v>
      </c>
      <c r="H54" s="8" t="n">
        <v>37.286171063149503</v>
      </c>
      <c r="I54" s="12" t="n">
        <v>5180690.7506702403</v>
      </c>
      <c r="J54" s="13" t="n">
        <v>29.988009592326101</v>
      </c>
      <c r="K54" s="14" t="str">
        <f>=HYPERLINK("https://ucloud.univie.ac.at/index.php/f/1556102618","Open Cytogram")</f>
      </c>
      <c r="L54" s="9" t="s">
        <v>314</v>
      </c>
      <c r="M54" s="10" t="s">
        <v>14</v>
      </c>
      <c r="N54" s="10" t="s">
        <v>314</v>
      </c>
      <c r="O54" s="10" t="s">
        <v>202</v>
      </c>
    </row>
    <row r="55">
      <c r="A55" s="17" t="s">
        <v>314</v>
      </c>
      <c r="B55" s="18" t="n">
        <v>46231</v>
      </c>
      <c r="C55" s="18"/>
      <c r="D55" s="19" t="str">
        <f t="shared" si="60"/>
        <v/>
      </c>
      <c r="E55" s="20" t="n">
        <v>3124277.1880604299</v>
      </c>
      <c r="F55" s="21" t="n">
        <v>15.301657458563501</v>
      </c>
      <c r="G55" s="22" t="n">
        <v>11013483.1898006</v>
      </c>
      <c r="H55" s="23" t="n">
        <v>53.940331491712698</v>
      </c>
      <c r="I55" s="27" t="n">
        <v>5746792.93286217</v>
      </c>
      <c r="J55" s="28" t="n">
        <v>28.145856353591199</v>
      </c>
      <c r="K55" s="24" t="str">
        <f>=HYPERLINK("https://ucloud.univie.ac.at/index.php/f/1563063010","Open Cytogram")</f>
      </c>
      <c r="L55" s="15" t="s">
        <v>314</v>
      </c>
      <c r="M55" s="25" t="s">
        <v>14</v>
      </c>
      <c r="N55" s="25" t="s">
        <v>314</v>
      </c>
      <c r="O55" s="25" t="s">
        <v>204</v>
      </c>
    </row>
    <row r="56">
      <c r="A56" s="2" t="s">
        <v>220</v>
      </c>
      <c r="B56" s="3" t="n">
        <v>46224</v>
      </c>
      <c r="C56" s="3"/>
      <c r="D56" s="4" t="str">
        <f t="shared" si="60"/>
        <v/>
      </c>
      <c r="E56" s="5" t="n">
        <v>9052917.0241286904</v>
      </c>
      <c r="F56" s="6" t="n">
        <v>34.401238455079799</v>
      </c>
      <c r="G56" s="7" t="n">
        <v>6431845.1742627304</v>
      </c>
      <c r="H56" s="8" t="n">
        <v>24.441120906801</v>
      </c>
      <c r="I56" s="12" t="n">
        <v>9806923.9946380705</v>
      </c>
      <c r="J56" s="13" t="n">
        <v>37.266477749790099</v>
      </c>
      <c r="K56" s="14" t="str">
        <f>=HYPERLINK("https://ucloud.univie.ac.at/index.php/f/1556102618","Open Cytogram")</f>
      </c>
      <c r="L56" s="9" t="s">
        <v>314</v>
      </c>
      <c r="M56" s="10" t="s">
        <v>14</v>
      </c>
      <c r="N56" s="10" t="s">
        <v>314</v>
      </c>
      <c r="O56" s="10" t="s">
        <v>202</v>
      </c>
    </row>
    <row r="57">
      <c r="A57" s="17" t="s">
        <v>314</v>
      </c>
      <c r="B57" s="18" t="n">
        <v>46231</v>
      </c>
      <c r="C57" s="18"/>
      <c r="D57" s="19" t="str">
        <f t="shared" si="60"/>
        <v/>
      </c>
      <c r="E57" s="20" t="n">
        <v>3321913.4399914602</v>
      </c>
      <c r="F57" s="21" t="n">
        <v>17.192097519966399</v>
      </c>
      <c r="G57" s="22" t="n">
        <v>10047863.1461193</v>
      </c>
      <c r="H57" s="23" t="n">
        <v>52.001307739012702</v>
      </c>
      <c r="I57" s="27" t="n">
        <v>5393935.5150309699</v>
      </c>
      <c r="J57" s="28" t="n">
        <v>27.915557423754102</v>
      </c>
      <c r="K57" s="24" t="str">
        <f>=HYPERLINK("https://ucloud.univie.ac.at/index.php/f/1563063010","Open Cytogram")</f>
      </c>
      <c r="L57" s="15" t="s">
        <v>314</v>
      </c>
      <c r="M57" s="25" t="s">
        <v>14</v>
      </c>
      <c r="N57" s="25" t="s">
        <v>314</v>
      </c>
      <c r="O57" s="25" t="s">
        <v>204</v>
      </c>
    </row>
    <row r="58">
      <c r="A58" s="17" t="s">
        <v>76</v>
      </c>
      <c r="B58" s="18" t="n">
        <v>46231</v>
      </c>
      <c r="C58" s="18"/>
      <c r="D58" s="19" t="str">
        <f t="shared" si="60"/>
        <v/>
      </c>
      <c r="E58" s="20" t="n">
        <v>2147827.7607116802</v>
      </c>
      <c r="F58" s="21" t="n">
        <v>8.8736437865851396</v>
      </c>
      <c r="G58" s="22" t="n">
        <v>12220959.468721701</v>
      </c>
      <c r="H58" s="23" t="n">
        <v>50.4902874613176</v>
      </c>
      <c r="I58" s="27" t="n">
        <v>8554310.6486495808</v>
      </c>
      <c r="J58" s="28" t="n">
        <v>35.341709854218699</v>
      </c>
      <c r="K58" s="24" t="str">
        <f>=HYPERLINK("https://ucloud.univie.ac.at/index.php/f/1563063010","Open Cytogram")</f>
      </c>
      <c r="L58" s="15" t="s">
        <v>314</v>
      </c>
      <c r="M58" s="16" t="s">
        <v>14</v>
      </c>
      <c r="N58" s="16" t="s">
        <v>314</v>
      </c>
      <c r="O58" s="16" t="s">
        <v>204</v>
      </c>
    </row>
    <row r="59">
      <c r="A59" s="17" t="s">
        <v>221</v>
      </c>
      <c r="B59" s="18" t="n">
        <v>46224</v>
      </c>
      <c r="C59" s="18"/>
      <c r="D59" s="19" t="str">
        <f t="shared" si="60"/>
        <v/>
      </c>
      <c r="E59" s="20" t="n">
        <v>15337540.470212299</v>
      </c>
      <c r="F59" s="21" t="n">
        <v>53.993377483443702</v>
      </c>
      <c r="G59" s="22" t="n">
        <v>4844126.9116639998</v>
      </c>
      <c r="H59" s="23" t="n">
        <v>17.052980132450301</v>
      </c>
      <c r="I59" s="27" t="n">
        <v>7370597.7630677903</v>
      </c>
      <c r="J59" s="28" t="n">
        <v>25.947019867549699</v>
      </c>
      <c r="K59" s="24" t="str">
        <f>=HYPERLINK("https://ucloud.univie.ac.at/index.php/f/1556102618","Open Cytogram")</f>
      </c>
      <c r="L59" s="15" t="s">
        <v>314</v>
      </c>
      <c r="M59" s="25" t="s">
        <v>14</v>
      </c>
      <c r="N59" s="25" t="s">
        <v>314</v>
      </c>
      <c r="O59" s="25" t="s">
        <v>202</v>
      </c>
    </row>
    <row r="60">
      <c r="A60" s="17" t="s">
        <v>222</v>
      </c>
      <c r="B60" s="18" t="n">
        <v>46224</v>
      </c>
      <c r="C60" s="18"/>
      <c r="D60" s="19" t="str">
        <f t="shared" si="60"/>
        <v/>
      </c>
      <c r="E60" s="20" t="n">
        <v>10909624.6648794</v>
      </c>
      <c r="F60" s="21" t="n">
        <v>48.864971856250399</v>
      </c>
      <c r="G60" s="22" t="n">
        <v>3460008.1769436998</v>
      </c>
      <c r="H60" s="23" t="n">
        <v>15.4976186058019</v>
      </c>
      <c r="I60" s="27" t="n">
        <v>7085732.1715817703</v>
      </c>
      <c r="J60" s="28" t="n">
        <v>31.737489948660901</v>
      </c>
      <c r="K60" s="24" t="str">
        <f>=HYPERLINK("https://ucloud.univie.ac.at/index.php/f/1556102618","Open Cytogram")</f>
      </c>
      <c r="L60" s="15" t="s">
        <v>314</v>
      </c>
      <c r="M60" s="16" t="s">
        <v>14</v>
      </c>
      <c r="N60" s="16" t="s">
        <v>314</v>
      </c>
      <c r="O60" s="16" t="s">
        <v>202</v>
      </c>
    </row>
    <row r="61">
      <c r="A61" s="17" t="s">
        <v>223</v>
      </c>
      <c r="B61" s="18" t="n">
        <v>46224</v>
      </c>
      <c r="C61" s="18"/>
      <c r="D61" s="19" t="str">
        <f t="shared" si="60"/>
        <v/>
      </c>
      <c r="E61" s="20" t="n">
        <v>12287137.399463801</v>
      </c>
      <c r="F61" s="21" t="n">
        <v>47.375006655662602</v>
      </c>
      <c r="G61" s="22" t="n">
        <v>4098704.55764075</v>
      </c>
      <c r="H61" s="23" t="n">
        <v>15.803205367126401</v>
      </c>
      <c r="I61" s="27" t="n">
        <v>8402482.4396782797</v>
      </c>
      <c r="J61" s="28" t="n">
        <v>32.397103455619998</v>
      </c>
      <c r="K61" s="24" t="str">
        <f>=HYPERLINK("https://ucloud.univie.ac.at/index.php/f/1556102618","Open Cytogram")</f>
      </c>
      <c r="L61" s="15" t="s">
        <v>314</v>
      </c>
      <c r="M61" s="25" t="s">
        <v>14</v>
      </c>
      <c r="N61" s="25" t="s">
        <v>314</v>
      </c>
      <c r="O61" s="25" t="s">
        <v>202</v>
      </c>
    </row>
    <row r="62">
      <c r="A62" s="17" t="s">
        <v>224</v>
      </c>
      <c r="B62" s="18" t="n">
        <v>46238</v>
      </c>
      <c r="C62" s="18"/>
      <c r="D62" s="19" t="str">
        <f t="shared" si="60"/>
        <v/>
      </c>
      <c r="E62" s="20" t="n">
        <v>1061599.4499113699</v>
      </c>
      <c r="F62" s="21" t="n">
        <v>21.8790012804097</v>
      </c>
      <c r="G62" s="22" t="n">
        <v>1313214.8279444999</v>
      </c>
      <c r="H62" s="23" t="n">
        <v>27.064660691421299</v>
      </c>
      <c r="I62" s="27" t="n">
        <v>2023018.7030132599</v>
      </c>
      <c r="J62" s="28" t="n">
        <v>41.693341869398203</v>
      </c>
      <c r="K62" s="24" t="str">
        <f>=HYPERLINK("https://ucloud.univie.ac.at/index.php/f/1567856234","Open Cytogram")</f>
      </c>
      <c r="L62" s="15" t="s">
        <v>314</v>
      </c>
      <c r="M62" s="16" t="s">
        <v>14</v>
      </c>
      <c r="N62" s="16" t="s">
        <v>314</v>
      </c>
      <c r="O62" s="16" t="s">
        <v>206</v>
      </c>
    </row>
    <row r="63">
      <c r="A63" s="17" t="s">
        <v>225</v>
      </c>
      <c r="B63" s="18" t="n">
        <v>46238</v>
      </c>
      <c r="C63" s="18"/>
      <c r="D63" s="19" t="str">
        <f t="shared" si="60"/>
        <v/>
      </c>
      <c r="E63" s="20" t="n">
        <v>7695236.9781798003</v>
      </c>
      <c r="F63" s="21" t="n">
        <v>34.759883537376801</v>
      </c>
      <c r="G63" s="22" t="n">
        <v>7150846.9164476404</v>
      </c>
      <c r="H63" s="23" t="n">
        <v>32.300838390570703</v>
      </c>
      <c r="I63" s="27" t="n">
        <v>6194863.7980563398</v>
      </c>
      <c r="J63" s="28" t="n">
        <v>27.982600764724499</v>
      </c>
      <c r="K63" s="24" t="str">
        <f>=HYPERLINK("https://ucloud.univie.ac.at/index.php/f/1567856234","Open Cytogram")</f>
      </c>
      <c r="L63" s="15" t="s">
        <v>314</v>
      </c>
      <c r="M63" s="25" t="s">
        <v>14</v>
      </c>
      <c r="N63" s="25" t="s">
        <v>314</v>
      </c>
      <c r="O63" s="25" t="s">
        <v>206</v>
      </c>
    </row>
    <row r="64">
      <c r="A64" s="17" t="s">
        <v>226</v>
      </c>
      <c r="B64" s="18" t="n">
        <v>46238</v>
      </c>
      <c r="C64" s="18"/>
      <c r="D64" s="19" t="str">
        <f t="shared" si="60"/>
        <v/>
      </c>
      <c r="E64" s="20" t="n">
        <v>5619410.1094065104</v>
      </c>
      <c r="F64" s="21" t="n">
        <v>31.537656903765701</v>
      </c>
      <c r="G64" s="22" t="n">
        <v>4681288.5764928702</v>
      </c>
      <c r="H64" s="23" t="n">
        <v>26.2726638772664</v>
      </c>
      <c r="I64" s="27" t="n">
        <v>5072690.2756555099</v>
      </c>
      <c r="J64" s="28" t="n">
        <v>28.469316596931701</v>
      </c>
      <c r="K64" s="24" t="str">
        <f>=HYPERLINK("https://ucloud.univie.ac.at/index.php/f/1567856234","Open Cytogram")</f>
      </c>
      <c r="L64" s="24" t="str">
        <f>=HYPERLINK("https://ucloud.univie.ac.at/index.php/f/1568324104","Open Microscopy")</f>
      </c>
      <c r="M64" s="26" t="s">
        <v>227</v>
      </c>
      <c r="N64" s="16" t="s">
        <v>314</v>
      </c>
      <c r="O64" s="16" t="s">
        <v>206</v>
      </c>
    </row>
    <row r="65">
      <c r="A65" s="17" t="s">
        <v>228</v>
      </c>
      <c r="B65" s="18" t="n">
        <v>46238</v>
      </c>
      <c r="C65" s="18"/>
      <c r="D65" s="19" t="str">
        <f t="shared" si="60"/>
        <v/>
      </c>
      <c r="E65" s="20" t="n">
        <v>4703033.11533524</v>
      </c>
      <c r="F65" s="21" t="n">
        <v>24.683105767271201</v>
      </c>
      <c r="G65" s="22" t="n">
        <v>5420602.8971334202</v>
      </c>
      <c r="H65" s="23" t="n">
        <v>28.449154269411</v>
      </c>
      <c r="I65" s="27" t="n">
        <v>7949182.1282317601</v>
      </c>
      <c r="J65" s="28" t="n">
        <v>41.719991848379898</v>
      </c>
      <c r="K65" s="24" t="str">
        <f>=HYPERLINK("https://ucloud.univie.ac.at/index.php/f/1567856234","Open Cytogram")</f>
      </c>
      <c r="L65" s="15" t="s">
        <v>314</v>
      </c>
      <c r="M65" s="25" t="s">
        <v>14</v>
      </c>
      <c r="N65" s="25" t="s">
        <v>314</v>
      </c>
      <c r="O65" s="25" t="s">
        <v>206</v>
      </c>
    </row>
    <row r="66">
      <c r="A66" s="2" t="s">
        <v>229</v>
      </c>
      <c r="B66" s="3" t="n">
        <v>46153</v>
      </c>
      <c r="C66" s="3" t="n">
        <v>46115</v>
      </c>
      <c r="D66" s="4" t="n">
        <f t="shared" ref="D66:D129" si="71">IF(OR(C66="",B66=""),"",B66-C66)</f>
        <v>38</v>
      </c>
      <c r="E66" s="5" t="n">
        <v>996025.91291769105</v>
      </c>
      <c r="F66" s="6" t="n">
        <v>43.658159319412199</v>
      </c>
      <c r="G66" s="7" t="n">
        <v>640050.30985100497</v>
      </c>
      <c r="H66" s="8" t="n">
        <v>28.054911059551401</v>
      </c>
      <c r="I66" s="12" t="n">
        <v>453019.75755822298</v>
      </c>
      <c r="J66" s="13" t="n">
        <v>19.856921887084301</v>
      </c>
      <c r="K66" s="14" t="str">
        <f>=HYPERLINK("https://ucloud.univie.ac.at/index.php/f/1514656058","Open Cytogram")</f>
      </c>
      <c r="L66" s="9" t="s">
        <v>314</v>
      </c>
      <c r="M66" s="10" t="s">
        <v>14</v>
      </c>
      <c r="N66" s="10" t="s">
        <v>314</v>
      </c>
      <c r="O66" s="10" t="s">
        <v>178</v>
      </c>
    </row>
    <row r="67">
      <c r="A67" s="17" t="s">
        <v>314</v>
      </c>
      <c r="B67" s="18" t="n">
        <v>46162</v>
      </c>
      <c r="C67" s="18" t="n">
        <v>46115</v>
      </c>
      <c r="D67" s="19" t="n">
        <f t="shared" si="71"/>
        <v>47</v>
      </c>
      <c r="E67" s="20" t="n">
        <v>6200762.6856379705</v>
      </c>
      <c r="F67" s="21" t="n">
        <v>49.799701046337802</v>
      </c>
      <c r="G67" s="22" t="n">
        <v>2030565.5210802699</v>
      </c>
      <c r="H67" s="23" t="n">
        <v>16.307922272047801</v>
      </c>
      <c r="I67" s="27" t="n">
        <v>3347176.0156835602</v>
      </c>
      <c r="J67" s="28" t="n">
        <v>26.881913303438001</v>
      </c>
      <c r="K67" s="24" t="str">
        <f>=HYPERLINK("https://ucloud.univie.ac.at/index.php/f/1515117418","Open Cytogram")</f>
      </c>
      <c r="L67" s="15" t="s">
        <v>314</v>
      </c>
      <c r="M67" s="25" t="s">
        <v>14</v>
      </c>
      <c r="N67" s="25" t="s">
        <v>314</v>
      </c>
      <c r="O67" s="25" t="s">
        <v>230</v>
      </c>
    </row>
    <row r="68">
      <c r="A68" s="2" t="s">
        <v>231</v>
      </c>
      <c r="B68" s="3" t="n">
        <v>46153</v>
      </c>
      <c r="C68" s="3" t="n">
        <v>46115</v>
      </c>
      <c r="D68" s="4" t="n">
        <f t="shared" si="71"/>
        <v>38</v>
      </c>
      <c r="E68" s="5" t="n">
        <v>4142967.5445035701</v>
      </c>
      <c r="F68" s="6" t="n">
        <v>51.539214619819397</v>
      </c>
      <c r="G68" s="7" t="n">
        <v>2012898.1189208999</v>
      </c>
      <c r="H68" s="8" t="n">
        <v>25.040791906885701</v>
      </c>
      <c r="I68" s="12" t="n">
        <v>1239917.26004771</v>
      </c>
      <c r="J68" s="13" t="n">
        <v>15.4247797237028</v>
      </c>
      <c r="K68" s="14" t="str">
        <f>=HYPERLINK("https://ucloud.univie.ac.at/index.php/f/1514656058","Open Cytogram")</f>
      </c>
      <c r="L68" s="9" t="s">
        <v>314</v>
      </c>
      <c r="M68" s="10" t="s">
        <v>14</v>
      </c>
      <c r="N68" s="10" t="s">
        <v>314</v>
      </c>
      <c r="O68" s="10" t="s">
        <v>178</v>
      </c>
    </row>
    <row r="69">
      <c r="A69" s="17" t="s">
        <v>314</v>
      </c>
      <c r="B69" s="18" t="n">
        <v>46162</v>
      </c>
      <c r="C69" s="18" t="n">
        <v>46115</v>
      </c>
      <c r="D69" s="19" t="n">
        <f t="shared" si="71"/>
        <v>47</v>
      </c>
      <c r="E69" s="20" t="n">
        <v>5402309.3322526095</v>
      </c>
      <c r="F69" s="21" t="n">
        <v>53.811642565813898</v>
      </c>
      <c r="G69" s="22" t="n">
        <v>1552982.4663513999</v>
      </c>
      <c r="H69" s="23" t="n">
        <v>15.469039673711499</v>
      </c>
      <c r="I69" s="27" t="n">
        <v>2377120.3332023099</v>
      </c>
      <c r="J69" s="28" t="n">
        <v>23.678160919540201</v>
      </c>
      <c r="K69" s="24" t="str">
        <f>=HYPERLINK("https://ucloud.univie.ac.at/index.php/f/1515117418","Open Cytogram")</f>
      </c>
      <c r="L69" s="15" t="s">
        <v>314</v>
      </c>
      <c r="M69" s="25" t="s">
        <v>14</v>
      </c>
      <c r="N69" s="25" t="s">
        <v>314</v>
      </c>
      <c r="O69" s="25" t="s">
        <v>230</v>
      </c>
    </row>
    <row r="70">
      <c r="A70" s="2" t="s">
        <v>232</v>
      </c>
      <c r="B70" s="3" t="n">
        <v>46153</v>
      </c>
      <c r="C70" s="3" t="n">
        <v>46115</v>
      </c>
      <c r="D70" s="4" t="n">
        <f t="shared" si="71"/>
        <v>38</v>
      </c>
      <c r="E70" s="5" t="n">
        <v>6619518.5836119903</v>
      </c>
      <c r="F70" s="6" t="n">
        <v>52.3712737127371</v>
      </c>
      <c r="G70" s="7" t="n">
        <v>4177628.3070223099</v>
      </c>
      <c r="H70" s="8" t="n">
        <v>33.051907442151297</v>
      </c>
      <c r="I70" s="12" t="n">
        <v>847119.20574435405</v>
      </c>
      <c r="J70" s="13" t="n">
        <v>6.7021054825932902</v>
      </c>
      <c r="K70" s="14" t="str">
        <f>=HYPERLINK("https://ucloud.univie.ac.at/index.php/f/1514656058","Open Cytogram")</f>
      </c>
      <c r="L70" s="9" t="s">
        <v>314</v>
      </c>
      <c r="M70" s="10" t="s">
        <v>14</v>
      </c>
      <c r="N70" s="10" t="s">
        <v>314</v>
      </c>
      <c r="O70" s="10" t="s">
        <v>178</v>
      </c>
    </row>
    <row r="71">
      <c r="A71" s="17" t="s">
        <v>314</v>
      </c>
      <c r="B71" s="18" t="n">
        <v>46162</v>
      </c>
      <c r="C71" s="18" t="n">
        <v>46115</v>
      </c>
      <c r="D71" s="19" t="n">
        <f t="shared" si="71"/>
        <v>47</v>
      </c>
      <c r="E71" s="20" t="n">
        <v>7198736.3175382903</v>
      </c>
      <c r="F71" s="21" t="n">
        <v>52.288765715830699</v>
      </c>
      <c r="G71" s="22" t="n">
        <v>2958558.1597701199</v>
      </c>
      <c r="H71" s="23" t="n">
        <v>21.489793159388899</v>
      </c>
      <c r="I71" s="27" t="n">
        <v>3117132.1124704299</v>
      </c>
      <c r="J71" s="28" t="n">
        <v>22.6416114641071</v>
      </c>
      <c r="K71" s="24" t="str">
        <f>=HYPERLINK("https://ucloud.univie.ac.at/index.php/f/1515117418","Open Cytogram")</f>
      </c>
      <c r="L71" s="15" t="s">
        <v>314</v>
      </c>
      <c r="M71" s="25" t="s">
        <v>14</v>
      </c>
      <c r="N71" s="25" t="s">
        <v>314</v>
      </c>
      <c r="O71" s="25" t="s">
        <v>230</v>
      </c>
    </row>
    <row r="72">
      <c r="A72" s="2" t="s">
        <v>233</v>
      </c>
      <c r="B72" s="3" t="n">
        <v>46153</v>
      </c>
      <c r="C72" s="3" t="n">
        <v>46115</v>
      </c>
      <c r="D72" s="4" t="n">
        <f t="shared" si="71"/>
        <v>38</v>
      </c>
      <c r="E72" s="5" t="n">
        <v>0</v>
      </c>
      <c r="F72" s="6" t="n">
        <v>0</v>
      </c>
      <c r="G72" s="7" t="n">
        <v>17992.009780783501</v>
      </c>
      <c r="H72" s="8" t="n">
        <v>0.56408359533937502</v>
      </c>
      <c r="I72" s="12" t="n">
        <v>2512392.4477494098</v>
      </c>
      <c r="J72" s="13" t="n">
        <v>78.768263362308105</v>
      </c>
      <c r="K72" s="14" t="str">
        <f>=HYPERLINK("https://ucloud.univie.ac.at/index.php/f/1514656058","Open Cytogram")</f>
      </c>
      <c r="L72" s="9" t="s">
        <v>314</v>
      </c>
      <c r="M72" s="10" t="s">
        <v>14</v>
      </c>
      <c r="N72" s="10" t="s">
        <v>314</v>
      </c>
      <c r="O72" s="10" t="s">
        <v>178</v>
      </c>
    </row>
    <row r="73">
      <c r="A73" s="17" t="s">
        <v>314</v>
      </c>
      <c r="B73" s="18" t="n">
        <v>46162</v>
      </c>
      <c r="C73" s="18" t="n">
        <v>46115</v>
      </c>
      <c r="D73" s="19" t="n">
        <f t="shared" si="71"/>
        <v>47</v>
      </c>
      <c r="E73" s="20" t="n">
        <v>7047234.9120241404</v>
      </c>
      <c r="F73" s="21" t="n">
        <v>46.753759909120099</v>
      </c>
      <c r="G73" s="22" t="n">
        <v>2779883.2834880799</v>
      </c>
      <c r="H73" s="23" t="n">
        <v>18.4426937989282</v>
      </c>
      <c r="I73" s="27" t="n">
        <v>4798537.1461495403</v>
      </c>
      <c r="J73" s="28" t="n">
        <v>31.835131998123099</v>
      </c>
      <c r="K73" s="24" t="str">
        <f>=HYPERLINK("https://ucloud.univie.ac.at/index.php/f/1515117418","Open Cytogram")</f>
      </c>
      <c r="L73" s="15" t="s">
        <v>314</v>
      </c>
      <c r="M73" s="25" t="s">
        <v>14</v>
      </c>
      <c r="N73" s="25" t="s">
        <v>314</v>
      </c>
      <c r="O73" s="25" t="s">
        <v>230</v>
      </c>
    </row>
    <row r="74">
      <c r="A74" s="2" t="s">
        <v>234</v>
      </c>
      <c r="B74" s="3" t="n">
        <v>46153</v>
      </c>
      <c r="C74" s="3" t="n">
        <v>46115</v>
      </c>
      <c r="D74" s="4" t="n">
        <f t="shared" si="71"/>
        <v>38</v>
      </c>
      <c r="E74" s="5" t="n">
        <v>1952531.8184193701</v>
      </c>
      <c r="F74" s="6" t="n">
        <v>32.313508286078502</v>
      </c>
      <c r="G74" s="7" t="n">
        <v>1970327.9865371899</v>
      </c>
      <c r="H74" s="8" t="n">
        <v>32.608026726449502</v>
      </c>
      <c r="I74" s="12" t="n">
        <v>1850004.64090477</v>
      </c>
      <c r="J74" s="13" t="n">
        <v>30.616730405732099</v>
      </c>
      <c r="K74" s="14" t="str">
        <f>=HYPERLINK("https://ucloud.univie.ac.at/index.php/f/1514656058","Open Cytogram")</f>
      </c>
      <c r="L74" s="9" t="s">
        <v>314</v>
      </c>
      <c r="M74" s="10" t="s">
        <v>14</v>
      </c>
      <c r="N74" s="10" t="s">
        <v>314</v>
      </c>
      <c r="O74" s="10" t="s">
        <v>178</v>
      </c>
    </row>
    <row r="75">
      <c r="A75" s="17" t="s">
        <v>314</v>
      </c>
      <c r="B75" s="18" t="n">
        <v>46162</v>
      </c>
      <c r="C75" s="18" t="n">
        <v>46115</v>
      </c>
      <c r="D75" s="19" t="n">
        <f t="shared" si="71"/>
        <v>47</v>
      </c>
      <c r="E75" s="20" t="n">
        <v>2006635.4529998701</v>
      </c>
      <c r="F75" s="21" t="n">
        <v>24.868039291082599</v>
      </c>
      <c r="G75" s="22" t="n">
        <v>1971941.0250101299</v>
      </c>
      <c r="H75" s="23" t="n">
        <v>24.438074597126601</v>
      </c>
      <c r="I75" s="27" t="n">
        <v>3928368.2814069702</v>
      </c>
      <c r="J75" s="28" t="n">
        <v>48.6838885587444</v>
      </c>
      <c r="K75" s="24" t="str">
        <f>=HYPERLINK("https://ucloud.univie.ac.at/index.php/f/1515117418","Open Cytogram")</f>
      </c>
      <c r="L75" s="15" t="s">
        <v>314</v>
      </c>
      <c r="M75" s="25" t="s">
        <v>14</v>
      </c>
      <c r="N75" s="25" t="s">
        <v>314</v>
      </c>
      <c r="O75" s="25" t="s">
        <v>230</v>
      </c>
    </row>
    <row r="76">
      <c r="A76" s="2" t="s">
        <v>235</v>
      </c>
      <c r="B76" s="3" t="n">
        <v>46153</v>
      </c>
      <c r="C76" s="3" t="n">
        <v>46115</v>
      </c>
      <c r="D76" s="4" t="n">
        <f t="shared" si="71"/>
        <v>38</v>
      </c>
      <c r="E76" s="5" t="n">
        <v>3352054.35293872</v>
      </c>
      <c r="F76" s="6" t="n">
        <v>30.542849536532799</v>
      </c>
      <c r="G76" s="7" t="n">
        <v>5033659.4328479897</v>
      </c>
      <c r="H76" s="8" t="n">
        <v>45.865098380890103</v>
      </c>
      <c r="I76" s="12" t="n">
        <v>2174585.49821785</v>
      </c>
      <c r="J76" s="13" t="n">
        <v>19.814129093153301</v>
      </c>
      <c r="K76" s="14" t="str">
        <f>=HYPERLINK("https://ucloud.univie.ac.at/index.php/f/1514656058","Open Cytogram")</f>
      </c>
      <c r="L76" s="9" t="s">
        <v>314</v>
      </c>
      <c r="M76" s="10" t="s">
        <v>14</v>
      </c>
      <c r="N76" s="10" t="s">
        <v>314</v>
      </c>
      <c r="O76" s="10" t="s">
        <v>178</v>
      </c>
    </row>
    <row r="77">
      <c r="A77" s="17" t="s">
        <v>314</v>
      </c>
      <c r="B77" s="18" t="n">
        <v>46162</v>
      </c>
      <c r="C77" s="18" t="n">
        <v>46115</v>
      </c>
      <c r="D77" s="19" t="n">
        <f t="shared" si="71"/>
        <v>47</v>
      </c>
      <c r="E77" s="20" t="n">
        <v>2434815.46672686</v>
      </c>
      <c r="F77" s="21" t="n">
        <v>28.8232937090958</v>
      </c>
      <c r="G77" s="22" t="n">
        <v>3948677.2148643699</v>
      </c>
      <c r="H77" s="23" t="n">
        <v>46.744356885267798</v>
      </c>
      <c r="I77" s="27" t="n">
        <v>1891269.4282209901</v>
      </c>
      <c r="J77" s="28" t="n">
        <v>22.3888072659276</v>
      </c>
      <c r="K77" s="24" t="str">
        <f>=HYPERLINK("https://ucloud.univie.ac.at/index.php/f/1515117418","Open Cytogram")</f>
      </c>
      <c r="L77" s="15" t="s">
        <v>314</v>
      </c>
      <c r="M77" s="25" t="s">
        <v>14</v>
      </c>
      <c r="N77" s="25" t="s">
        <v>314</v>
      </c>
      <c r="O77" s="25" t="s">
        <v>230</v>
      </c>
    </row>
    <row r="78">
      <c r="A78" s="2" t="s">
        <v>236</v>
      </c>
      <c r="B78" s="3" t="n">
        <v>46153</v>
      </c>
      <c r="C78" s="3" t="n">
        <v>46115</v>
      </c>
      <c r="D78" s="4" t="n">
        <f t="shared" si="71"/>
        <v>38</v>
      </c>
      <c r="E78" s="5" t="n">
        <v>2715376.5174399801</v>
      </c>
      <c r="F78" s="6" t="n">
        <v>31.700207758380099</v>
      </c>
      <c r="G78" s="7" t="n">
        <v>2502884.9578242102</v>
      </c>
      <c r="H78" s="8" t="n">
        <v>29.219510682501799</v>
      </c>
      <c r="I78" s="12" t="n">
        <v>3099455.0114454702</v>
      </c>
      <c r="J78" s="13" t="n">
        <v>36.184067723030203</v>
      </c>
      <c r="K78" s="14" t="str">
        <f>=HYPERLINK("https://ucloud.univie.ac.at/index.php/f/1514656058","Open Cytogram")</f>
      </c>
      <c r="L78" s="9" t="s">
        <v>314</v>
      </c>
      <c r="M78" s="10" t="s">
        <v>14</v>
      </c>
      <c r="N78" s="10" t="s">
        <v>314</v>
      </c>
      <c r="O78" s="10" t="s">
        <v>178</v>
      </c>
    </row>
    <row r="79">
      <c r="A79" s="17" t="s">
        <v>314</v>
      </c>
      <c r="B79" s="18" t="n">
        <v>46162</v>
      </c>
      <c r="C79" s="18" t="n">
        <v>46115</v>
      </c>
      <c r="D79" s="19" t="n">
        <f t="shared" si="71"/>
        <v>47</v>
      </c>
      <c r="E79" s="20" t="n">
        <v>1951067.9545122399</v>
      </c>
      <c r="F79" s="21" t="n">
        <v>30.653667183691599</v>
      </c>
      <c r="G79" s="22" t="n">
        <v>1452934.9477653001</v>
      </c>
      <c r="H79" s="23" t="n">
        <v>22.8273875470862</v>
      </c>
      <c r="I79" s="27" t="n">
        <v>2681061.28489791</v>
      </c>
      <c r="J79" s="28" t="n">
        <v>42.122756481276298</v>
      </c>
      <c r="K79" s="24" t="str">
        <f>=HYPERLINK("https://ucloud.univie.ac.at/index.php/f/1515117418","Open Cytogram")</f>
      </c>
      <c r="L79" s="15" t="s">
        <v>314</v>
      </c>
      <c r="M79" s="25" t="s">
        <v>14</v>
      </c>
      <c r="N79" s="25" t="s">
        <v>314</v>
      </c>
      <c r="O79" s="25" t="s">
        <v>230</v>
      </c>
    </row>
    <row r="80">
      <c r="A80" s="17" t="s">
        <v>237</v>
      </c>
      <c r="B80" s="18" t="n">
        <v>46153</v>
      </c>
      <c r="C80" s="18" t="n">
        <v>46142</v>
      </c>
      <c r="D80" s="19" t="n">
        <f t="shared" si="71"/>
        <v>11</v>
      </c>
      <c r="E80" s="20" t="n">
        <v>3356845.52582091</v>
      </c>
      <c r="F80" s="21" t="n">
        <v>30.441217648705901</v>
      </c>
      <c r="G80" s="22" t="n">
        <v>2988518.8485462102</v>
      </c>
      <c r="H80" s="23" t="n">
        <v>27.101084043361698</v>
      </c>
      <c r="I80" s="27" t="n">
        <v>4032625.72891653</v>
      </c>
      <c r="J80" s="28" t="n">
        <v>36.569462778511102</v>
      </c>
      <c r="K80" s="24" t="str">
        <f>=HYPERLINK("https://ucloud.univie.ac.at/index.php/f/1514656058","Open Cytogram")</f>
      </c>
      <c r="L80" s="15" t="s">
        <v>314</v>
      </c>
      <c r="M80" s="16" t="s">
        <v>14</v>
      </c>
      <c r="N80" s="16" t="s">
        <v>314</v>
      </c>
      <c r="O80" s="16" t="s">
        <v>178</v>
      </c>
    </row>
    <row r="81">
      <c r="A81" s="17" t="s">
        <v>238</v>
      </c>
      <c r="B81" s="18" t="n">
        <v>46153</v>
      </c>
      <c r="C81" s="18" t="n">
        <v>46142</v>
      </c>
      <c r="D81" s="19" t="n">
        <f t="shared" si="71"/>
        <v>11</v>
      </c>
      <c r="E81" s="20" t="n">
        <v>11433793.351723701</v>
      </c>
      <c r="F81" s="21" t="n">
        <v>53.536703035701002</v>
      </c>
      <c r="G81" s="22" t="n">
        <v>5308716.7523808097</v>
      </c>
      <c r="H81" s="23" t="n">
        <v>24.857121650708802</v>
      </c>
      <c r="I81" s="27" t="n">
        <v>2887641.7887689001</v>
      </c>
      <c r="J81" s="28" t="n">
        <v>13.5208688982904</v>
      </c>
      <c r="K81" s="24" t="str">
        <f>=HYPERLINK("https://ucloud.univie.ac.at/index.php/f/1514656058","Open Cytogram")</f>
      </c>
      <c r="L81" s="15" t="s">
        <v>314</v>
      </c>
      <c r="M81" s="25" t="s">
        <v>14</v>
      </c>
      <c r="N81" s="25" t="s">
        <v>314</v>
      </c>
      <c r="O81" s="25" t="s">
        <v>178</v>
      </c>
    </row>
    <row r="82">
      <c r="A82" s="17" t="s">
        <v>239</v>
      </c>
      <c r="B82" s="18" t="n">
        <v>46153</v>
      </c>
      <c r="C82" s="18" t="n">
        <v>46142</v>
      </c>
      <c r="D82" s="19" t="n">
        <f t="shared" si="71"/>
        <v>11</v>
      </c>
      <c r="E82" s="20" t="n">
        <v>3111145.4740480301</v>
      </c>
      <c r="F82" s="21" t="n">
        <v>35.203906785469499</v>
      </c>
      <c r="G82" s="22" t="n">
        <v>2231711.1912281699</v>
      </c>
      <c r="H82" s="23" t="n">
        <v>25.252741603838199</v>
      </c>
      <c r="I82" s="27" t="n">
        <v>2903306.7218878502</v>
      </c>
      <c r="J82" s="28" t="n">
        <v>32.852124742974603</v>
      </c>
      <c r="K82" s="24" t="str">
        <f>=HYPERLINK("https://ucloud.univie.ac.at/index.php/f/1514656058","Open Cytogram")</f>
      </c>
      <c r="L82" s="15" t="s">
        <v>314</v>
      </c>
      <c r="M82" s="16" t="s">
        <v>14</v>
      </c>
      <c r="N82" s="16" t="s">
        <v>314</v>
      </c>
      <c r="O82" s="16" t="s">
        <v>178</v>
      </c>
    </row>
    <row r="83">
      <c r="A83" s="17" t="s">
        <v>240</v>
      </c>
      <c r="B83" s="18" t="n">
        <v>46153</v>
      </c>
      <c r="C83" s="18" t="n">
        <v>46142</v>
      </c>
      <c r="D83" s="19" t="n">
        <f t="shared" si="71"/>
        <v>11</v>
      </c>
      <c r="E83" s="20" t="n">
        <v>3131757.1604818399</v>
      </c>
      <c r="F83" s="21" t="n">
        <v>31.3084358987903</v>
      </c>
      <c r="G83" s="22" t="n">
        <v>3966610.59621009</v>
      </c>
      <c r="H83" s="23" t="n">
        <v>39.6545348898632</v>
      </c>
      <c r="I83" s="27" t="n">
        <v>1810258.1460791</v>
      </c>
      <c r="J83" s="28" t="n">
        <v>18.0973007236807</v>
      </c>
      <c r="K83" s="24" t="str">
        <f>=HYPERLINK("https://ucloud.univie.ac.at/index.php/f/1514656058","Open Cytogram")</f>
      </c>
      <c r="L83" s="15" t="s">
        <v>314</v>
      </c>
      <c r="M83" s="25" t="s">
        <v>14</v>
      </c>
      <c r="N83" s="25" t="s">
        <v>314</v>
      </c>
      <c r="O83" s="25" t="s">
        <v>178</v>
      </c>
    </row>
    <row r="84">
      <c r="A84" s="17" t="s">
        <v>241</v>
      </c>
      <c r="B84" s="18" t="n">
        <v>46153</v>
      </c>
      <c r="C84" s="18" t="n">
        <v>46142</v>
      </c>
      <c r="D84" s="19" t="n">
        <f t="shared" si="71"/>
        <v>11</v>
      </c>
      <c r="E84" s="20" t="n">
        <v>5190980.04571098</v>
      </c>
      <c r="F84" s="21" t="n">
        <v>42.7026634734016</v>
      </c>
      <c r="G84" s="22" t="n">
        <v>4104526.6251988998</v>
      </c>
      <c r="H84" s="23" t="n">
        <v>33.765149865737698</v>
      </c>
      <c r="I84" s="27" t="n">
        <v>1711505.99739621</v>
      </c>
      <c r="J84" s="28" t="n">
        <v>14.0793961825967</v>
      </c>
      <c r="K84" s="24" t="str">
        <f>=HYPERLINK("https://ucloud.univie.ac.at/index.php/f/1514656058","Open Cytogram")</f>
      </c>
      <c r="L84" s="15" t="s">
        <v>314</v>
      </c>
      <c r="M84" s="16" t="s">
        <v>14</v>
      </c>
      <c r="N84" s="16" t="s">
        <v>314</v>
      </c>
      <c r="O84" s="16" t="s">
        <v>178</v>
      </c>
    </row>
    <row r="85">
      <c r="A85" s="2" t="s">
        <v>242</v>
      </c>
      <c r="B85" s="3" t="n">
        <v>46153</v>
      </c>
      <c r="C85" s="3" t="n">
        <v>46146</v>
      </c>
      <c r="D85" s="4" t="n">
        <f t="shared" si="71"/>
        <v>7</v>
      </c>
      <c r="E85" s="5" t="n">
        <v>3061737.7596136802</v>
      </c>
      <c r="F85" s="6" t="n">
        <v>36.035388270601501</v>
      </c>
      <c r="G85" s="7" t="n">
        <v>3223762.5738206999</v>
      </c>
      <c r="H85" s="8" t="n">
        <v>37.942353382518398</v>
      </c>
      <c r="I85" s="12" t="n">
        <v>1668589.9718828099</v>
      </c>
      <c r="J85" s="13" t="n">
        <v>19.638614480430199</v>
      </c>
      <c r="K85" s="14" t="str">
        <f>=HYPERLINK("https://ucloud.univie.ac.at/index.php/f/1514656058","Open Cytogram")</f>
      </c>
      <c r="L85" s="9" t="s">
        <v>314</v>
      </c>
      <c r="M85" t="s">
        <v>14</v>
      </c>
      <c r="N85" t="s">
        <v>314</v>
      </c>
      <c r="O85" t="s">
        <v>178</v>
      </c>
    </row>
    <row r="86">
      <c r="A86" s="17" t="s">
        <v>314</v>
      </c>
      <c r="B86" s="18" t="n">
        <v>46162</v>
      </c>
      <c r="C86" s="18" t="n">
        <v>46146</v>
      </c>
      <c r="D86" s="19" t="n">
        <f t="shared" si="71"/>
        <v>16</v>
      </c>
      <c r="E86" s="20" t="n">
        <v>5102872.2803330701</v>
      </c>
      <c r="F86" s="21" t="n">
        <v>36.827352623434301</v>
      </c>
      <c r="G86" s="22" t="n">
        <v>4027114.1424272899</v>
      </c>
      <c r="H86" s="23" t="n">
        <v>29.063622295541499</v>
      </c>
      <c r="I86" s="27" t="n">
        <v>4157791.04297018</v>
      </c>
      <c r="J86" s="28" t="n">
        <v>30.006715524540901</v>
      </c>
      <c r="K86" s="24" t="str">
        <f>=HYPERLINK("https://ucloud.univie.ac.at/index.php/f/1515117418","Open Cytogram")</f>
      </c>
      <c r="L86" s="15" t="s">
        <v>314</v>
      </c>
      <c r="M86" s="16" t="s">
        <v>14</v>
      </c>
      <c r="N86" s="16" t="s">
        <v>314</v>
      </c>
      <c r="O86" s="16" t="s">
        <v>230</v>
      </c>
    </row>
    <row r="87">
      <c r="A87" s="2" t="s">
        <v>243</v>
      </c>
      <c r="B87" s="3" t="n">
        <v>46153</v>
      </c>
      <c r="C87" s="3" t="n">
        <v>46146</v>
      </c>
      <c r="D87" s="4" t="n">
        <f t="shared" si="71"/>
        <v>7</v>
      </c>
      <c r="E87" s="5" t="n">
        <v>6041158.8148378497</v>
      </c>
      <c r="F87" s="6" t="n">
        <v>39.274549269838602</v>
      </c>
      <c r="G87" s="7" t="n">
        <v>5576758.3171319598</v>
      </c>
      <c r="H87" s="8" t="n">
        <v>36.2554066207015</v>
      </c>
      <c r="I87" s="12" t="n">
        <v>2851616.6731472099</v>
      </c>
      <c r="J87" s="13" t="n">
        <v>18.5388206072545</v>
      </c>
      <c r="K87" s="14" t="str">
        <f>=HYPERLINK("https://ucloud.univie.ac.at/index.php/f/1514656058","Open Cytogram")</f>
      </c>
      <c r="L87" s="9" t="s">
        <v>314</v>
      </c>
      <c r="M87" t="s">
        <v>14</v>
      </c>
      <c r="N87" t="s">
        <v>314</v>
      </c>
      <c r="O87" t="s">
        <v>178</v>
      </c>
    </row>
    <row r="88">
      <c r="A88" s="17" t="s">
        <v>314</v>
      </c>
      <c r="B88" s="18" t="n">
        <v>46162</v>
      </c>
      <c r="C88" s="18" t="n">
        <v>46146</v>
      </c>
      <c r="D88" s="19" t="n">
        <f t="shared" si="71"/>
        <v>16</v>
      </c>
      <c r="E88" s="20" t="n">
        <v>5174886.1759882905</v>
      </c>
      <c r="F88" s="21" t="n">
        <v>44.772305645979898</v>
      </c>
      <c r="G88" s="22" t="n">
        <v>2600996.2649854398</v>
      </c>
      <c r="H88" s="23" t="n">
        <v>22.5034127900872</v>
      </c>
      <c r="I88" s="27" t="n">
        <v>3443720.6731305099</v>
      </c>
      <c r="J88" s="28" t="n">
        <v>29.7945325352655</v>
      </c>
      <c r="K88" s="24" t="str">
        <f>=HYPERLINK("https://ucloud.univie.ac.at/index.php/f/1515117418","Open Cytogram")</f>
      </c>
      <c r="L88" s="15" t="s">
        <v>314</v>
      </c>
      <c r="M88" s="16" t="s">
        <v>14</v>
      </c>
      <c r="N88" s="16" t="s">
        <v>314</v>
      </c>
      <c r="O88" s="16" t="s">
        <v>230</v>
      </c>
    </row>
    <row r="89">
      <c r="A89" s="2" t="s">
        <v>244</v>
      </c>
      <c r="B89" s="3" t="n">
        <v>46168</v>
      </c>
      <c r="C89" s="3" t="n">
        <v>46168</v>
      </c>
      <c r="D89" s="4" t="n">
        <f t="shared" si="71"/>
        <v>0</v>
      </c>
      <c r="E89" s="5" t="n">
        <v>4446297.6503000101</v>
      </c>
      <c r="F89" s="6" t="n">
        <v>64.616552771450301</v>
      </c>
      <c r="G89" s="7" t="n">
        <v>543151.16138902202</v>
      </c>
      <c r="H89" s="8" t="n">
        <v>7.8934336931761901</v>
      </c>
      <c r="I89" s="12" t="n">
        <v>1758028.7904599099</v>
      </c>
      <c r="J89" s="13" t="n">
        <v>25.548842890627601</v>
      </c>
      <c r="K89" s="14" t="str">
        <f>=HYPERLINK("https://ucloud.univie.ac.at/index.php/f/1515117663","Open Cytogram")</f>
      </c>
      <c r="L89" s="9" t="s">
        <v>314</v>
      </c>
      <c r="M89" t="s">
        <v>14</v>
      </c>
      <c r="N89" t="s">
        <v>314</v>
      </c>
      <c r="O89" t="s">
        <v>245</v>
      </c>
    </row>
    <row r="90">
      <c r="A90" s="2" t="s">
        <v>314</v>
      </c>
      <c r="B90" s="3" t="n">
        <v>46168</v>
      </c>
      <c r="C90" s="3" t="n">
        <v>46168</v>
      </c>
      <c r="D90" s="4" t="n">
        <f t="shared" si="71"/>
        <v>0</v>
      </c>
      <c r="E90" s="5" t="n">
        <v>3020611.03847337</v>
      </c>
      <c r="F90" s="6" t="n">
        <v>53.9870077141697</v>
      </c>
      <c r="G90" s="7" t="n">
        <v>1507920.28828956</v>
      </c>
      <c r="H90" s="8" t="n">
        <v>26.950872919204201</v>
      </c>
      <c r="I90" s="12" t="n">
        <v>965904.95116107096</v>
      </c>
      <c r="J90" s="13" t="n">
        <v>17.2634997969955</v>
      </c>
      <c r="K90" s="14" t="str">
        <f>=HYPERLINK("https://ucloud.univie.ac.at/index.php/f/1515117663","Open Cytogram")</f>
      </c>
      <c r="L90" s="9" t="s">
        <v>314</v>
      </c>
      <c r="M90" s="10" t="s">
        <v>14</v>
      </c>
      <c r="N90" s="10" t="s">
        <v>314</v>
      </c>
      <c r="O90" s="10" t="s">
        <v>245</v>
      </c>
    </row>
    <row r="91">
      <c r="A91" s="2" t="s">
        <v>314</v>
      </c>
      <c r="B91" s="3" t="n">
        <v>46169</v>
      </c>
      <c r="C91" s="3" t="n">
        <v>46168</v>
      </c>
      <c r="D91" s="4" t="n">
        <f t="shared" si="71"/>
        <v>1</v>
      </c>
      <c r="E91" s="5" t="n">
        <v>546807.28581539996</v>
      </c>
      <c r="F91" s="6" t="n">
        <v>24.468617154288602</v>
      </c>
      <c r="G91" s="7" t="n">
        <v>861982.87007690803</v>
      </c>
      <c r="H91" s="8" t="n">
        <v>38.572143035758899</v>
      </c>
      <c r="I91" s="12" t="n">
        <v>749519.95104742399</v>
      </c>
      <c r="J91" s="13" t="n">
        <v>33.539634908727201</v>
      </c>
      <c r="K91" s="14" t="str">
        <f>=HYPERLINK("https://ucloud.univie.ac.at/index.php/f/1515117663","Open Cytogram")</f>
      </c>
      <c r="L91" s="9" t="s">
        <v>314</v>
      </c>
      <c r="M91" t="s">
        <v>14</v>
      </c>
      <c r="N91" t="s">
        <v>314</v>
      </c>
      <c r="O91" t="s">
        <v>245</v>
      </c>
    </row>
    <row r="92">
      <c r="A92" s="2" t="s">
        <v>314</v>
      </c>
      <c r="B92" s="3" t="n">
        <v>46171</v>
      </c>
      <c r="C92" s="3" t="n">
        <v>46168</v>
      </c>
      <c r="D92" s="4" t="n">
        <f t="shared" si="71"/>
        <v>3</v>
      </c>
      <c r="E92" s="5" t="n">
        <v>1262588.3617960501</v>
      </c>
      <c r="F92" s="6" t="n">
        <v>49.785159477772297</v>
      </c>
      <c r="G92" s="7" t="n">
        <v>695838.117069509</v>
      </c>
      <c r="H92" s="8" t="n">
        <v>27.437613617583899</v>
      </c>
      <c r="I92" s="12" t="n">
        <v>434518.998868733</v>
      </c>
      <c r="J92" s="13" t="n">
        <v>17.133531647661499</v>
      </c>
      <c r="K92" s="14" t="str">
        <f>=HYPERLINK("https://ucloud.univie.ac.at/index.php/f/1515117663","Open Cytogram")</f>
      </c>
      <c r="L92" s="9" t="s">
        <v>314</v>
      </c>
      <c r="M92" s="10" t="s">
        <v>14</v>
      </c>
      <c r="N92" s="10" t="s">
        <v>314</v>
      </c>
      <c r="O92" s="10" t="s">
        <v>245</v>
      </c>
    </row>
    <row r="93">
      <c r="A93" s="2" t="s">
        <v>314</v>
      </c>
      <c r="B93" s="3" t="n">
        <v>46175</v>
      </c>
      <c r="C93" s="3" t="n">
        <v>46168</v>
      </c>
      <c r="D93" s="4" t="n">
        <f t="shared" si="71"/>
        <v>7</v>
      </c>
      <c r="E93" s="5" t="n">
        <v>3599492.1568112602</v>
      </c>
      <c r="F93" s="6" t="n">
        <v>17.528173291045299</v>
      </c>
      <c r="G93" s="7" t="n">
        <v>14664725.9863158</v>
      </c>
      <c r="H93" s="8" t="n">
        <v>71.411701194412601</v>
      </c>
      <c r="I93" s="12" t="n">
        <v>1890166.42998674</v>
      </c>
      <c r="J93" s="13" t="n">
        <v>9.2043997570686304</v>
      </c>
      <c r="K93" s="14" t="str">
        <f>=HYPERLINK("https://ucloud.univie.ac.at/index.php/f/1515117663","Open Cytogram")</f>
      </c>
      <c r="L93" s="9" t="s">
        <v>314</v>
      </c>
      <c r="M93" t="s">
        <v>14</v>
      </c>
      <c r="N93" t="s">
        <v>314</v>
      </c>
      <c r="O93" t="s">
        <v>245</v>
      </c>
    </row>
    <row r="94">
      <c r="A94" s="2" t="s">
        <v>314</v>
      </c>
      <c r="B94" s="3" t="n">
        <v>46178</v>
      </c>
      <c r="C94" s="3" t="n">
        <v>46168</v>
      </c>
      <c r="D94" s="4" t="n">
        <f t="shared" si="71"/>
        <v>10</v>
      </c>
      <c r="E94" s="5" t="n">
        <v>3081446.7557571498</v>
      </c>
      <c r="F94" s="6" t="n">
        <v>36.039675501691498</v>
      </c>
      <c r="G94" s="7" t="n">
        <v>2860721.5985508198</v>
      </c>
      <c r="H94" s="8" t="n">
        <v>33.458140375078003</v>
      </c>
      <c r="I94" s="12" t="n">
        <v>2361141.3763242601</v>
      </c>
      <c r="J94" s="13" t="n">
        <v>27.615200183926198</v>
      </c>
      <c r="K94" s="14" t="str">
        <f>=HYPERLINK("https://ucloud.univie.ac.at/index.php/f/1525440666","Open Cytogram")</f>
      </c>
      <c r="L94" s="9" t="s">
        <v>314</v>
      </c>
      <c r="M94" s="10" t="s">
        <v>14</v>
      </c>
      <c r="N94" s="10" t="s">
        <v>314</v>
      </c>
      <c r="O94" s="10" t="s">
        <v>185</v>
      </c>
    </row>
    <row r="95">
      <c r="A95" s="2" t="s">
        <v>314</v>
      </c>
      <c r="B95" s="3" t="n">
        <v>46182</v>
      </c>
      <c r="C95" s="3" t="n">
        <v>46168</v>
      </c>
      <c r="D95" s="4" t="n">
        <f t="shared" si="71"/>
        <v>14</v>
      </c>
      <c r="E95" s="5" t="n">
        <v>7786420.0603336096</v>
      </c>
      <c r="F95" s="6" t="n">
        <v>51.1501666129206</v>
      </c>
      <c r="G95" s="7" t="n">
        <v>3209638.1104012602</v>
      </c>
      <c r="H95" s="8" t="n">
        <v>21.0845963667634</v>
      </c>
      <c r="I95" s="12" t="n">
        <v>2998553.0651594698</v>
      </c>
      <c r="J95" s="13" t="n">
        <v>19.6979468988498</v>
      </c>
      <c r="K95" s="14" t="str">
        <f>=HYPERLINK("https://ucloud.univie.ac.at/index.php/f/1525440666","Open Cytogram")</f>
      </c>
      <c r="L95" s="9" t="s">
        <v>314</v>
      </c>
      <c r="M95" t="s">
        <v>14</v>
      </c>
      <c r="N95" t="s">
        <v>314</v>
      </c>
      <c r="O95" t="s">
        <v>185</v>
      </c>
    </row>
    <row r="96">
      <c r="A96" s="2" t="s">
        <v>314</v>
      </c>
      <c r="B96" s="3" t="n">
        <v>46188</v>
      </c>
      <c r="C96" s="3" t="n">
        <v>46168</v>
      </c>
      <c r="D96" s="4" t="n">
        <f t="shared" si="71"/>
        <v>20</v>
      </c>
      <c r="E96" s="5" t="n">
        <v>2341632.1615434801</v>
      </c>
      <c r="F96" s="6" t="n">
        <v>24.6319322602792</v>
      </c>
      <c r="G96" s="7" t="n">
        <v>4743817.5239196802</v>
      </c>
      <c r="H96" s="8" t="n">
        <v>49.900831489816099</v>
      </c>
      <c r="I96" s="12" t="n">
        <v>1851042.45659329</v>
      </c>
      <c r="J96" s="13" t="n">
        <v>19.4713555572507</v>
      </c>
      <c r="K96" s="14" t="str">
        <f>=HYPERLINK("https://ucloud.univie.ac.at/index.php/f/1525440666","Open Cytogram")</f>
      </c>
      <c r="L96" s="9" t="s">
        <v>314</v>
      </c>
      <c r="M96" s="10" t="s">
        <v>14</v>
      </c>
      <c r="N96" s="10" t="s">
        <v>314</v>
      </c>
      <c r="O96" s="10" t="s">
        <v>185</v>
      </c>
    </row>
    <row r="97">
      <c r="A97" s="2" t="s">
        <v>314</v>
      </c>
      <c r="B97" s="3" t="n">
        <v>46196</v>
      </c>
      <c r="C97" s="3" t="n">
        <v>46168</v>
      </c>
      <c r="D97" s="4" t="n">
        <f t="shared" si="71"/>
        <v>28</v>
      </c>
      <c r="E97" s="5" t="n">
        <v>2464589.0858394802</v>
      </c>
      <c r="F97" s="6" t="n">
        <v>34.1100123609394</v>
      </c>
      <c r="G97" s="7" t="n">
        <v>2498527.98247361</v>
      </c>
      <c r="H97" s="8" t="n">
        <v>34.579728059332503</v>
      </c>
      <c r="I97" s="12" t="n">
        <v>1867532.4437363099</v>
      </c>
      <c r="J97" s="13" t="n">
        <v>25.8467243510507</v>
      </c>
      <c r="K97" s="14" t="str">
        <f>=HYPERLINK("https://ucloud.univie.ac.at/index.php/f/1547934963","Open Cytogram")</f>
      </c>
      <c r="L97" s="9" t="s">
        <v>314</v>
      </c>
      <c r="M97" t="s">
        <v>14</v>
      </c>
      <c r="N97" t="s">
        <v>314</v>
      </c>
      <c r="O97" t="s">
        <v>201</v>
      </c>
    </row>
    <row r="98">
      <c r="A98" s="2" t="s">
        <v>314</v>
      </c>
      <c r="B98" s="3" t="n">
        <v>46204</v>
      </c>
      <c r="C98" s="3" t="n">
        <v>46168</v>
      </c>
      <c r="D98" s="4" t="n">
        <f t="shared" si="71"/>
        <v>36</v>
      </c>
      <c r="E98" s="5" t="n">
        <v>7510858.5270475801</v>
      </c>
      <c r="F98" s="6" t="n">
        <v>36.608254010964998</v>
      </c>
      <c r="G98" s="7" t="n">
        <v>6607540.4627416898</v>
      </c>
      <c r="H98" s="8" t="n">
        <v>32.205442131108903</v>
      </c>
      <c r="I98" s="12" t="n">
        <v>5627623.2348468397</v>
      </c>
      <c r="J98" s="13" t="n">
        <v>27.429282567017601</v>
      </c>
      <c r="K98" s="14" t="str">
        <f>=HYPERLINK("https://ucloud.univie.ac.at/index.php/f/1547934963","Open Cytogram")</f>
      </c>
      <c r="L98" s="9" t="s">
        <v>314</v>
      </c>
      <c r="M98" s="10" t="s">
        <v>14</v>
      </c>
      <c r="N98" s="10" t="s">
        <v>314</v>
      </c>
      <c r="O98" s="10" t="s">
        <v>201</v>
      </c>
    </row>
    <row r="99">
      <c r="A99" s="17" t="s">
        <v>314</v>
      </c>
      <c r="B99" s="18" t="n">
        <v>46213</v>
      </c>
      <c r="C99" s="18" t="n">
        <v>46168</v>
      </c>
      <c r="D99" s="19" t="n">
        <f t="shared" si="71"/>
        <v>45</v>
      </c>
      <c r="E99" s="20" t="n">
        <v>1835223.7255208299</v>
      </c>
      <c r="F99" s="21" t="n">
        <v>20.894994398915198</v>
      </c>
      <c r="G99" s="22" t="n">
        <v>4705091.0750796404</v>
      </c>
      <c r="H99" s="23" t="n">
        <v>53.5699546017334</v>
      </c>
      <c r="I99" s="27" t="n">
        <v>2027860.0759423201</v>
      </c>
      <c r="J99" s="28" t="n">
        <v>23.088261305347601</v>
      </c>
      <c r="K99" s="24" t="str">
        <f>=HYPERLINK("https://ucloud.univie.ac.at/index.php/f/1552579888","Open Cytogram")</f>
      </c>
      <c r="L99" s="15" t="s">
        <v>314</v>
      </c>
      <c r="M99" s="25" t="s">
        <v>14</v>
      </c>
      <c r="N99" s="25" t="s">
        <v>314</v>
      </c>
      <c r="O99" s="25" t="s">
        <v>218</v>
      </c>
    </row>
    <row r="100">
      <c r="A100" s="2" t="s">
        <v>246</v>
      </c>
      <c r="B100" s="3" t="n">
        <v>46168</v>
      </c>
      <c r="C100" s="3" t="n">
        <v>46168</v>
      </c>
      <c r="D100" s="4" t="n">
        <f t="shared" si="71"/>
        <v>0</v>
      </c>
      <c r="E100" s="5" t="n">
        <v>3883811.26517737</v>
      </c>
      <c r="F100" s="6" t="n">
        <v>63.636363636363598</v>
      </c>
      <c r="G100" s="7" t="n">
        <v>725484.14873286604</v>
      </c>
      <c r="H100" s="8" t="n">
        <v>11.8870794559771</v>
      </c>
      <c r="I100" s="12" t="n">
        <v>1307072.8716538299</v>
      </c>
      <c r="J100" s="13" t="n">
        <v>21.416428060128801</v>
      </c>
      <c r="K100" s="14" t="str">
        <f>=HYPERLINK("https://ucloud.univie.ac.at/index.php/f/1515117663","Open Cytogram")</f>
      </c>
      <c r="L100" s="9" t="s">
        <v>314</v>
      </c>
      <c r="M100" s="10" t="s">
        <v>14</v>
      </c>
      <c r="N100" s="10" t="s">
        <v>314</v>
      </c>
      <c r="O100" s="10" t="s">
        <v>245</v>
      </c>
    </row>
    <row r="101">
      <c r="A101" s="2" t="s">
        <v>314</v>
      </c>
      <c r="B101" s="3" t="n">
        <v>46168</v>
      </c>
      <c r="C101" s="3" t="n">
        <v>46168</v>
      </c>
      <c r="D101" s="4" t="n">
        <f t="shared" si="71"/>
        <v>0</v>
      </c>
      <c r="E101" s="5" t="n">
        <v>288456.90954560402</v>
      </c>
      <c r="F101" s="6" t="n">
        <v>39.216524216524199</v>
      </c>
      <c r="G101" s="7" t="n">
        <v>128983.093225804</v>
      </c>
      <c r="H101" s="8" t="n">
        <v>17.535612535612501</v>
      </c>
      <c r="I101" s="12" t="n">
        <v>301449.52007362997</v>
      </c>
      <c r="J101" s="13" t="n">
        <v>40.982905982905997</v>
      </c>
      <c r="K101" s="14" t="str">
        <f>=HYPERLINK("https://ucloud.univie.ac.at/index.php/f/1515117663","Open Cytogram")</f>
      </c>
      <c r="L101" s="9" t="s">
        <v>314</v>
      </c>
      <c r="M101" t="s">
        <v>14</v>
      </c>
      <c r="N101" t="s">
        <v>314</v>
      </c>
      <c r="O101" t="s">
        <v>245</v>
      </c>
    </row>
    <row r="102">
      <c r="A102" s="2" t="s">
        <v>314</v>
      </c>
      <c r="B102" s="3" t="n">
        <v>46169</v>
      </c>
      <c r="C102" s="3" t="n">
        <v>46168</v>
      </c>
      <c r="D102" s="4" t="n">
        <f t="shared" si="71"/>
        <v>1</v>
      </c>
      <c r="E102" s="5" t="n">
        <v>2735850.51505931</v>
      </c>
      <c r="F102" s="6" t="n">
        <v>31.160126261642201</v>
      </c>
      <c r="G102" s="7" t="n">
        <v>2991096.1984302802</v>
      </c>
      <c r="H102" s="8" t="n">
        <v>34.067261603211101</v>
      </c>
      <c r="I102" s="12" t="n">
        <v>2576407.5010501002</v>
      </c>
      <c r="J102" s="13" t="n">
        <v>29.3441409142278</v>
      </c>
      <c r="K102" s="14" t="str">
        <f>=HYPERLINK("https://ucloud.univie.ac.at/index.php/f/1515117663","Open Cytogram")</f>
      </c>
      <c r="L102" s="9" t="s">
        <v>314</v>
      </c>
      <c r="M102" s="10" t="s">
        <v>14</v>
      </c>
      <c r="N102" s="10" t="s">
        <v>314</v>
      </c>
      <c r="O102" s="10" t="s">
        <v>245</v>
      </c>
    </row>
    <row r="103">
      <c r="A103" s="2" t="s">
        <v>314</v>
      </c>
      <c r="B103" s="3" t="n">
        <v>46171</v>
      </c>
      <c r="C103" s="3" t="n">
        <v>46168</v>
      </c>
      <c r="D103" s="4" t="n">
        <f t="shared" si="71"/>
        <v>3</v>
      </c>
      <c r="E103" s="5" t="n">
        <v>2296868.9979481199</v>
      </c>
      <c r="F103" s="6" t="n">
        <v>28.806213525575</v>
      </c>
      <c r="G103" s="7" t="n">
        <v>4276220.5774401296</v>
      </c>
      <c r="H103" s="8" t="n">
        <v>53.630278063851698</v>
      </c>
      <c r="I103" s="12" t="n">
        <v>1170161.1757757401</v>
      </c>
      <c r="J103" s="13" t="n">
        <v>14.675592173017501</v>
      </c>
      <c r="K103" s="14" t="str">
        <f>=HYPERLINK("https://ucloud.univie.ac.at/index.php/f/1515117663","Open Cytogram")</f>
      </c>
      <c r="L103" s="9" t="s">
        <v>314</v>
      </c>
      <c r="M103" t="s">
        <v>14</v>
      </c>
      <c r="N103" t="s">
        <v>314</v>
      </c>
      <c r="O103" t="s">
        <v>245</v>
      </c>
    </row>
    <row r="104">
      <c r="A104" s="2" t="s">
        <v>314</v>
      </c>
      <c r="B104" s="3" t="n">
        <v>46175</v>
      </c>
      <c r="C104" s="3" t="n">
        <v>46168</v>
      </c>
      <c r="D104" s="4" t="n">
        <f t="shared" si="71"/>
        <v>7</v>
      </c>
      <c r="E104" s="5" t="n">
        <v>3800426.27143595</v>
      </c>
      <c r="F104" s="6" t="n">
        <v>17.426528991262899</v>
      </c>
      <c r="G104" s="7" t="n">
        <v>14344617.1554309</v>
      </c>
      <c r="H104" s="8" t="n">
        <v>65.776012708498797</v>
      </c>
      <c r="I104" s="12" t="n">
        <v>3120021.7867413098</v>
      </c>
      <c r="J104" s="13" t="n">
        <v>14.306592533757</v>
      </c>
      <c r="K104" s="14" t="str">
        <f>=HYPERLINK("https://ucloud.univie.ac.at/index.php/f/1515117663","Open Cytogram")</f>
      </c>
      <c r="L104" s="9" t="s">
        <v>314</v>
      </c>
      <c r="M104" s="10" t="s">
        <v>14</v>
      </c>
      <c r="N104" s="10" t="s">
        <v>314</v>
      </c>
      <c r="O104" s="10" t="s">
        <v>245</v>
      </c>
    </row>
    <row r="105">
      <c r="A105" s="2" t="s">
        <v>314</v>
      </c>
      <c r="B105" s="3" t="n">
        <v>46178</v>
      </c>
      <c r="C105" s="3" t="n">
        <v>46168</v>
      </c>
      <c r="D105" s="4" t="n">
        <f t="shared" si="71"/>
        <v>10</v>
      </c>
      <c r="E105" s="5" t="n">
        <v>5663166.7831236897</v>
      </c>
      <c r="F105" s="6" t="n">
        <v>35.919914702049503</v>
      </c>
      <c r="G105" s="7" t="n">
        <v>6793807.8207394099</v>
      </c>
      <c r="H105" s="8" t="n">
        <v>43.091260909055002</v>
      </c>
      <c r="I105" s="12" t="n">
        <v>2910030.95254179</v>
      </c>
      <c r="J105" s="13" t="n">
        <v>18.457528728823601</v>
      </c>
      <c r="K105" s="14" t="str">
        <f>=HYPERLINK("https://ucloud.univie.ac.at/index.php/f/1525440666","Open Cytogram")</f>
      </c>
      <c r="L105" s="9" t="s">
        <v>314</v>
      </c>
      <c r="M105" t="s">
        <v>14</v>
      </c>
      <c r="N105" t="s">
        <v>314</v>
      </c>
      <c r="O105" t="s">
        <v>185</v>
      </c>
    </row>
    <row r="106">
      <c r="A106" s="2" t="s">
        <v>314</v>
      </c>
      <c r="B106" s="3" t="n">
        <v>46182</v>
      </c>
      <c r="C106" s="3" t="n">
        <v>46168</v>
      </c>
      <c r="D106" s="4" t="n">
        <f t="shared" si="71"/>
        <v>14</v>
      </c>
      <c r="E106" s="5" t="n">
        <v>3349110.2621454098</v>
      </c>
      <c r="F106" s="6" t="n">
        <v>45.678843122472699</v>
      </c>
      <c r="G106" s="7" t="n">
        <v>1581342.8349544799</v>
      </c>
      <c r="H106" s="8" t="n">
        <v>21.568089918442901</v>
      </c>
      <c r="I106" s="12" t="n">
        <v>1857713.5242538</v>
      </c>
      <c r="J106" s="13" t="n">
        <v>25.3375368377767</v>
      </c>
      <c r="K106" s="14" t="str">
        <f>=HYPERLINK("https://ucloud.univie.ac.at/index.php/f/1525440666","Open Cytogram")</f>
      </c>
      <c r="L106" s="9" t="s">
        <v>314</v>
      </c>
      <c r="M106" s="10" t="s">
        <v>14</v>
      </c>
      <c r="N106" s="10" t="s">
        <v>314</v>
      </c>
      <c r="O106" s="10" t="s">
        <v>185</v>
      </c>
    </row>
    <row r="107">
      <c r="A107" s="2" t="s">
        <v>314</v>
      </c>
      <c r="B107" s="3" t="n">
        <v>46188</v>
      </c>
      <c r="C107" s="3" t="n">
        <v>46168</v>
      </c>
      <c r="D107" s="4" t="n">
        <f t="shared" si="71"/>
        <v>20</v>
      </c>
      <c r="E107" s="5" t="n">
        <v>1049428.0547722201</v>
      </c>
      <c r="F107" s="6" t="n">
        <v>23.867888014449701</v>
      </c>
      <c r="G107" s="7" t="n">
        <v>2096587.0759125</v>
      </c>
      <c r="H107" s="8" t="n">
        <v>47.684169784543897</v>
      </c>
      <c r="I107" s="12" t="n">
        <v>857694.71287329402</v>
      </c>
      <c r="J107" s="13" t="n">
        <v>19.5071603664043</v>
      </c>
      <c r="K107" s="14" t="str">
        <f>=HYPERLINK("https://ucloud.univie.ac.at/index.php/f/1525440666","Open Cytogram")</f>
      </c>
      <c r="L107" s="9" t="s">
        <v>314</v>
      </c>
      <c r="M107" t="s">
        <v>14</v>
      </c>
      <c r="N107" t="s">
        <v>314</v>
      </c>
      <c r="O107" t="s">
        <v>185</v>
      </c>
    </row>
    <row r="108">
      <c r="A108" s="2" t="s">
        <v>314</v>
      </c>
      <c r="B108" s="3" t="n">
        <v>46196</v>
      </c>
      <c r="C108" s="3" t="n">
        <v>46168</v>
      </c>
      <c r="D108" s="4" t="n">
        <f t="shared" si="71"/>
        <v>28</v>
      </c>
      <c r="E108" s="5" t="n">
        <v>3816769.55709911</v>
      </c>
      <c r="F108" s="6" t="n">
        <v>40.782802676941799</v>
      </c>
      <c r="G108" s="7" t="n">
        <v>2105201.78654119</v>
      </c>
      <c r="H108" s="8" t="n">
        <v>22.494423037923301</v>
      </c>
      <c r="I108" s="12" t="n">
        <v>3039370.8447232801</v>
      </c>
      <c r="J108" s="13" t="n">
        <v>32.476171162036103</v>
      </c>
      <c r="K108" s="14" t="str">
        <f>=HYPERLINK("https://ucloud.univie.ac.at/index.php/f/1547934963","Open Cytogram")</f>
      </c>
      <c r="L108" s="9" t="s">
        <v>314</v>
      </c>
      <c r="M108" s="10" t="s">
        <v>14</v>
      </c>
      <c r="N108" s="10" t="s">
        <v>314</v>
      </c>
      <c r="O108" s="10" t="s">
        <v>201</v>
      </c>
    </row>
    <row r="109">
      <c r="A109" s="2" t="s">
        <v>314</v>
      </c>
      <c r="B109" s="3" t="n">
        <v>46204</v>
      </c>
      <c r="C109" s="3" t="n">
        <v>46168</v>
      </c>
      <c r="D109" s="4" t="n">
        <f t="shared" si="71"/>
        <v>36</v>
      </c>
      <c r="E109" s="5" t="n">
        <v>5974915.2603614703</v>
      </c>
      <c r="F109" s="6" t="n">
        <v>24.2261014862369</v>
      </c>
      <c r="G109" s="7" t="n">
        <v>14402913.072485801</v>
      </c>
      <c r="H109" s="8" t="n">
        <v>58.398557734588003</v>
      </c>
      <c r="I109" s="12" t="n">
        <v>3585816.7362528699</v>
      </c>
      <c r="J109" s="13" t="n">
        <v>14.539178612259301</v>
      </c>
      <c r="K109" s="14" t="str">
        <f>=HYPERLINK("https://ucloud.univie.ac.at/index.php/f/1547934963","Open Cytogram")</f>
      </c>
      <c r="L109" s="9" t="s">
        <v>314</v>
      </c>
      <c r="M109" t="s">
        <v>14</v>
      </c>
      <c r="N109" t="s">
        <v>314</v>
      </c>
      <c r="O109" t="s">
        <v>201</v>
      </c>
    </row>
    <row r="110">
      <c r="A110" s="17" t="s">
        <v>314</v>
      </c>
      <c r="B110" s="18" t="n">
        <v>46213</v>
      </c>
      <c r="C110" s="18" t="n">
        <v>46168</v>
      </c>
      <c r="D110" s="19" t="n">
        <f t="shared" si="71"/>
        <v>45</v>
      </c>
      <c r="E110" s="20" t="n">
        <v>3036801.9520597002</v>
      </c>
      <c r="F110" s="21" t="n">
        <v>20.842905106909299</v>
      </c>
      <c r="G110" s="22" t="n">
        <v>7815999.5981053403</v>
      </c>
      <c r="H110" s="23" t="n">
        <v>53.6446368616363</v>
      </c>
      <c r="I110" s="27" t="n">
        <v>3173258.5043777698</v>
      </c>
      <c r="J110" s="28" t="n">
        <v>21.7794663368086</v>
      </c>
      <c r="K110" s="24" t="str">
        <f>=HYPERLINK("https://ucloud.univie.ac.at/index.php/f/1552579888","Open Cytogram")</f>
      </c>
      <c r="L110" s="15" t="s">
        <v>314</v>
      </c>
      <c r="M110" s="16" t="s">
        <v>14</v>
      </c>
      <c r="N110" s="16" t="s">
        <v>314</v>
      </c>
      <c r="O110" s="16" t="s">
        <v>218</v>
      </c>
    </row>
    <row r="111">
      <c r="A111" s="2" t="s">
        <v>247</v>
      </c>
      <c r="B111" s="3" t="n">
        <v>46168</v>
      </c>
      <c r="C111" s="3" t="n">
        <v>46168</v>
      </c>
      <c r="D111" s="4" t="n">
        <f t="shared" si="71"/>
        <v>0</v>
      </c>
      <c r="E111" s="5" t="n">
        <v>6622017.3672408601</v>
      </c>
      <c r="F111" s="6" t="n">
        <v>64.463911001565506</v>
      </c>
      <c r="G111" s="7" t="n">
        <v>1095571.9546298</v>
      </c>
      <c r="H111" s="8" t="n">
        <v>10.665156713186599</v>
      </c>
      <c r="I111" s="12" t="n">
        <v>2450837.5737080802</v>
      </c>
      <c r="J111" s="13" t="n">
        <v>23.858375245645</v>
      </c>
      <c r="K111" s="14" t="str">
        <f>=HYPERLINK("https://ucloud.univie.ac.at/index.php/f/1515117663","Open Cytogram")</f>
      </c>
      <c r="L111" s="9" t="s">
        <v>314</v>
      </c>
      <c r="M111" t="s">
        <v>14</v>
      </c>
      <c r="N111" t="s">
        <v>314</v>
      </c>
      <c r="O111" t="s">
        <v>245</v>
      </c>
    </row>
    <row r="112">
      <c r="A112" s="2" t="s">
        <v>314</v>
      </c>
      <c r="B112" s="3" t="n">
        <v>46168</v>
      </c>
      <c r="C112" s="3" t="n">
        <v>46168</v>
      </c>
      <c r="D112" s="4" t="n">
        <f t="shared" si="71"/>
        <v>0</v>
      </c>
      <c r="E112" s="5" t="n">
        <v>5880573.1368589802</v>
      </c>
      <c r="F112" s="6" t="n">
        <v>54.203986375678099</v>
      </c>
      <c r="G112" s="7" t="n">
        <v>3109480.9255701602</v>
      </c>
      <c r="H112" s="8" t="n">
        <v>28.661536520751898</v>
      </c>
      <c r="I112" s="12" t="n">
        <v>1641305.01760124</v>
      </c>
      <c r="J112" s="13" t="n">
        <v>15.1286741516337</v>
      </c>
      <c r="K112" s="14" t="str">
        <f>=HYPERLINK("https://ucloud.univie.ac.at/index.php/f/1515117663","Open Cytogram")</f>
      </c>
      <c r="L112" s="9" t="s">
        <v>314</v>
      </c>
      <c r="M112" s="10" t="s">
        <v>14</v>
      </c>
      <c r="N112" s="10" t="s">
        <v>314</v>
      </c>
      <c r="O112" s="10" t="s">
        <v>245</v>
      </c>
    </row>
    <row r="113">
      <c r="A113" s="2" t="s">
        <v>314</v>
      </c>
      <c r="B113" s="3" t="n">
        <v>46169</v>
      </c>
      <c r="C113" s="3" t="n">
        <v>46168</v>
      </c>
      <c r="D113" s="4" t="n">
        <f t="shared" si="71"/>
        <v>1</v>
      </c>
      <c r="E113" s="5" t="n">
        <v>2244908.46933995</v>
      </c>
      <c r="F113" s="6" t="n">
        <v>31.4852173913043</v>
      </c>
      <c r="G113" s="7" t="n">
        <v>3102001.2300601099</v>
      </c>
      <c r="H113" s="8" t="n">
        <v>43.506086956521699</v>
      </c>
      <c r="I113" s="12" t="n">
        <v>1522480.4566148899</v>
      </c>
      <c r="J113" s="13" t="n">
        <v>21.353043478260901</v>
      </c>
      <c r="K113" s="14" t="str">
        <f>=HYPERLINK("https://ucloud.univie.ac.at/index.php/f/1515117663","Open Cytogram")</f>
      </c>
      <c r="L113" s="9" t="s">
        <v>314</v>
      </c>
      <c r="M113" t="s">
        <v>14</v>
      </c>
      <c r="N113" t="s">
        <v>314</v>
      </c>
      <c r="O113" t="s">
        <v>245</v>
      </c>
    </row>
    <row r="114">
      <c r="A114" s="2" t="s">
        <v>314</v>
      </c>
      <c r="B114" s="3" t="n">
        <v>46171</v>
      </c>
      <c r="C114" s="3" t="n">
        <v>46168</v>
      </c>
      <c r="D114" s="4" t="n">
        <f t="shared" si="71"/>
        <v>3</v>
      </c>
      <c r="E114" s="5" t="n">
        <v>3623165.7150252601</v>
      </c>
      <c r="F114" s="6" t="n">
        <v>30.058284762697799</v>
      </c>
      <c r="G114" s="7" t="n">
        <v>7280090.4659246001</v>
      </c>
      <c r="H114" s="8" t="n">
        <v>60.396639164332697</v>
      </c>
      <c r="I114" s="12" t="n">
        <v>878191.13591332606</v>
      </c>
      <c r="J114" s="13" t="n">
        <v>7.2855953372189797</v>
      </c>
      <c r="K114" s="14" t="str">
        <f>=HYPERLINK("https://ucloud.univie.ac.at/index.php/f/1515117663","Open Cytogram")</f>
      </c>
      <c r="L114" s="9" t="s">
        <v>314</v>
      </c>
      <c r="M114" s="10" t="s">
        <v>14</v>
      </c>
      <c r="N114" s="10" t="s">
        <v>314</v>
      </c>
      <c r="O114" s="10" t="s">
        <v>245</v>
      </c>
    </row>
    <row r="115">
      <c r="A115" s="2" t="s">
        <v>314</v>
      </c>
      <c r="B115" s="3" t="n">
        <v>46175</v>
      </c>
      <c r="C115" s="3" t="n">
        <v>46168</v>
      </c>
      <c r="D115" s="4" t="n">
        <f t="shared" si="71"/>
        <v>7</v>
      </c>
      <c r="E115" s="5" t="n">
        <v>2084864.6582954901</v>
      </c>
      <c r="F115" s="6" t="n">
        <v>19.246514007931399</v>
      </c>
      <c r="G115" s="7" t="n">
        <v>6624589.8962988397</v>
      </c>
      <c r="H115" s="8" t="n">
        <v>61.155174619419199</v>
      </c>
      <c r="I115" s="12" t="n">
        <v>1914417.0989931701</v>
      </c>
      <c r="J115" s="13" t="n">
        <v>17.673020340284001</v>
      </c>
      <c r="K115" s="14" t="str">
        <f>=HYPERLINK("https://ucloud.univie.ac.at/index.php/f/1515117663","Open Cytogram")</f>
      </c>
      <c r="L115" s="9" t="s">
        <v>314</v>
      </c>
      <c r="M115" t="s">
        <v>14</v>
      </c>
      <c r="N115" t="s">
        <v>314</v>
      </c>
      <c r="O115" t="s">
        <v>245</v>
      </c>
    </row>
    <row r="116">
      <c r="A116" s="2" t="s">
        <v>314</v>
      </c>
      <c r="B116" s="3" t="n">
        <v>46178</v>
      </c>
      <c r="C116" s="3" t="n">
        <v>46168</v>
      </c>
      <c r="D116" s="4" t="n">
        <f t="shared" si="71"/>
        <v>10</v>
      </c>
      <c r="E116" s="5" t="n">
        <v>4949547.7992696501</v>
      </c>
      <c r="F116" s="6" t="n">
        <v>34.644063027574603</v>
      </c>
      <c r="G116" s="7" t="n">
        <v>4458110.4644792303</v>
      </c>
      <c r="H116" s="8" t="n">
        <v>31.2042768711311</v>
      </c>
      <c r="I116" s="12" t="n">
        <v>3547594.6662785499</v>
      </c>
      <c r="J116" s="13" t="n">
        <v>24.831176139561101</v>
      </c>
      <c r="K116" s="14" t="str">
        <f>=HYPERLINK("https://ucloud.univie.ac.at/index.php/f/1525440666","Open Cytogram")</f>
      </c>
      <c r="L116" s="9" t="s">
        <v>314</v>
      </c>
      <c r="M116" s="10" t="s">
        <v>14</v>
      </c>
      <c r="N116" s="10" t="s">
        <v>314</v>
      </c>
      <c r="O116" s="10" t="s">
        <v>185</v>
      </c>
    </row>
    <row r="117">
      <c r="A117" s="2" t="s">
        <v>314</v>
      </c>
      <c r="B117" s="3" t="n">
        <v>46182</v>
      </c>
      <c r="C117" s="3" t="n">
        <v>46168</v>
      </c>
      <c r="D117" s="4" t="n">
        <f t="shared" si="71"/>
        <v>14</v>
      </c>
      <c r="E117" s="5" t="n">
        <v>9951541.7337109409</v>
      </c>
      <c r="F117" s="6" t="n">
        <v>50.021933432033798</v>
      </c>
      <c r="G117" s="7" t="n">
        <v>3612445.1028976501</v>
      </c>
      <c r="H117" s="8" t="n">
        <v>18.158140044963499</v>
      </c>
      <c r="I117" s="12" t="n">
        <v>5274398.93477582</v>
      </c>
      <c r="J117" s="13" t="n">
        <v>26.512035970828499</v>
      </c>
      <c r="K117" s="14" t="str">
        <f>=HYPERLINK("https://ucloud.univie.ac.at/index.php/f/1525440666","Open Cytogram")</f>
      </c>
      <c r="L117" s="9" t="s">
        <v>314</v>
      </c>
      <c r="M117" t="s">
        <v>14</v>
      </c>
      <c r="N117" t="s">
        <v>314</v>
      </c>
      <c r="O117" t="s">
        <v>185</v>
      </c>
    </row>
    <row r="118">
      <c r="A118" s="2" t="s">
        <v>314</v>
      </c>
      <c r="B118" s="3" t="n">
        <v>46188</v>
      </c>
      <c r="C118" s="3" t="n">
        <v>46168</v>
      </c>
      <c r="D118" s="4" t="n">
        <f t="shared" si="71"/>
        <v>20</v>
      </c>
      <c r="E118" s="5" t="n">
        <v>4259068.8256972302</v>
      </c>
      <c r="F118" s="6" t="n">
        <v>29.0654554862449</v>
      </c>
      <c r="G118" s="7" t="n">
        <v>7002126.5047537303</v>
      </c>
      <c r="H118" s="8" t="n">
        <v>47.785092132118301</v>
      </c>
      <c r="I118" s="12" t="n">
        <v>3281812.4044117401</v>
      </c>
      <c r="J118" s="13" t="n">
        <v>22.3962974674447</v>
      </c>
      <c r="K118" s="14" t="str">
        <f>=HYPERLINK("https://ucloud.univie.ac.at/index.php/f/1525440666","Open Cytogram")</f>
      </c>
      <c r="L118" s="9" t="s">
        <v>314</v>
      </c>
      <c r="M118" s="10" t="s">
        <v>14</v>
      </c>
      <c r="N118" s="10" t="s">
        <v>314</v>
      </c>
      <c r="O118" s="10" t="s">
        <v>185</v>
      </c>
    </row>
    <row r="119">
      <c r="A119" s="2" t="s">
        <v>314</v>
      </c>
      <c r="B119" s="3" t="n">
        <v>46196</v>
      </c>
      <c r="C119" s="3" t="n">
        <v>46168</v>
      </c>
      <c r="D119" s="4" t="n">
        <f t="shared" si="71"/>
        <v>28</v>
      </c>
      <c r="E119" s="5" t="n">
        <v>1996639.27104339</v>
      </c>
      <c r="F119" s="6" t="n">
        <v>29.540604290688499</v>
      </c>
      <c r="G119" s="7" t="n">
        <v>3255736.6972888201</v>
      </c>
      <c r="H119" s="8" t="n">
        <v>48.1691564641132</v>
      </c>
      <c r="I119" s="12" t="n">
        <v>1271623.8703413301</v>
      </c>
      <c r="J119" s="13" t="n">
        <v>18.813882960799699</v>
      </c>
      <c r="K119" s="14" t="str">
        <f>=HYPERLINK("https://ucloud.univie.ac.at/index.php/f/1547934963","Open Cytogram")</f>
      </c>
      <c r="L119" s="9" t="s">
        <v>314</v>
      </c>
      <c r="M119" t="s">
        <v>14</v>
      </c>
      <c r="N119" t="s">
        <v>314</v>
      </c>
      <c r="O119" t="s">
        <v>201</v>
      </c>
    </row>
    <row r="120">
      <c r="A120" s="2" t="s">
        <v>314</v>
      </c>
      <c r="B120" s="3" t="n">
        <v>46204</v>
      </c>
      <c r="C120" s="3" t="n">
        <v>46168</v>
      </c>
      <c r="D120" s="4" t="n">
        <f t="shared" si="71"/>
        <v>36</v>
      </c>
      <c r="E120" s="5" t="n">
        <v>5014139.8435802702</v>
      </c>
      <c r="F120" s="6" t="n">
        <v>22.844028044141201</v>
      </c>
      <c r="G120" s="7" t="n">
        <v>11883221.5946122</v>
      </c>
      <c r="H120" s="8" t="n">
        <v>54.139026000565899</v>
      </c>
      <c r="I120" s="12" t="n">
        <v>4969284.47751466</v>
      </c>
      <c r="J120" s="13" t="n">
        <v>22.639670512780199</v>
      </c>
      <c r="K120" s="14" t="str">
        <f>=HYPERLINK("https://ucloud.univie.ac.at/index.php/f/1547934963","Open Cytogram")</f>
      </c>
      <c r="L120" s="9" t="s">
        <v>314</v>
      </c>
      <c r="M120" s="10" t="s">
        <v>14</v>
      </c>
      <c r="N120" s="10" t="s">
        <v>314</v>
      </c>
      <c r="O120" s="10" t="s">
        <v>201</v>
      </c>
    </row>
    <row r="121">
      <c r="A121" s="17" t="s">
        <v>314</v>
      </c>
      <c r="B121" s="18" t="n">
        <v>46213</v>
      </c>
      <c r="C121" s="18" t="n">
        <v>46168</v>
      </c>
      <c r="D121" s="19" t="n">
        <f t="shared" si="71"/>
        <v>45</v>
      </c>
      <c r="E121" s="20" t="n">
        <v>4799694.9175226698</v>
      </c>
      <c r="F121" s="21" t="n">
        <v>23.5994983277592</v>
      </c>
      <c r="G121" s="22" t="n">
        <v>9883375.3270652797</v>
      </c>
      <c r="H121" s="23" t="n">
        <v>48.595317725752501</v>
      </c>
      <c r="I121" s="27" t="n">
        <v>5302196.1923244204</v>
      </c>
      <c r="J121" s="28" t="n">
        <v>26.070234113712399</v>
      </c>
      <c r="K121" s="24" t="str">
        <f>=HYPERLINK("https://ucloud.univie.ac.at/index.php/f/1552579888","Open Cytogram")</f>
      </c>
      <c r="L121" s="15" t="s">
        <v>314</v>
      </c>
      <c r="M121" s="25" t="s">
        <v>14</v>
      </c>
      <c r="N121" s="25" t="s">
        <v>314</v>
      </c>
      <c r="O121" s="25" t="s">
        <v>218</v>
      </c>
    </row>
    <row r="122">
      <c r="A122" s="2" t="s">
        <v>248</v>
      </c>
      <c r="B122" s="3" t="n">
        <v>46168</v>
      </c>
      <c r="C122" s="3" t="n">
        <v>46168</v>
      </c>
      <c r="D122" s="4" t="n">
        <f t="shared" si="71"/>
        <v>0</v>
      </c>
      <c r="E122" s="5" t="n">
        <v>185125.42447906799</v>
      </c>
      <c r="F122" s="6" t="n">
        <v>6.9381907490790002</v>
      </c>
      <c r="G122" s="7" t="n">
        <v>819.13904636755603</v>
      </c>
      <c r="H122" s="8" t="n">
        <v>0.0306999590667212</v>
      </c>
      <c r="I122" s="12" t="n">
        <v>2305330.32282709</v>
      </c>
      <c r="J122" s="13" t="n">
        <v>86.399918133442497</v>
      </c>
      <c r="K122" s="14" t="str">
        <f>=HYPERLINK("https://ucloud.univie.ac.at/index.php/f/1515117663","Open Cytogram")</f>
      </c>
      <c r="L122" s="9" t="s">
        <v>314</v>
      </c>
      <c r="M122" s="10" t="s">
        <v>14</v>
      </c>
      <c r="N122" s="10" t="s">
        <v>314</v>
      </c>
      <c r="O122" s="10" t="s">
        <v>245</v>
      </c>
    </row>
    <row r="123">
      <c r="A123" s="2" t="s">
        <v>314</v>
      </c>
      <c r="B123" s="3" t="n">
        <v>46168</v>
      </c>
      <c r="C123" s="3" t="n">
        <v>46168</v>
      </c>
      <c r="D123" s="4" t="n">
        <f t="shared" si="71"/>
        <v>0</v>
      </c>
      <c r="E123" s="5" t="n">
        <v>2260290.2784695802</v>
      </c>
      <c r="F123" s="6" t="n">
        <v>44.638851502916097</v>
      </c>
      <c r="G123" s="7" t="n">
        <v>1329368.7145330601</v>
      </c>
      <c r="H123" s="8" t="n">
        <v>26.253925527142201</v>
      </c>
      <c r="I123" s="12" t="n">
        <v>1308469.54813917</v>
      </c>
      <c r="J123" s="13" t="n">
        <v>25.841184387617801</v>
      </c>
      <c r="K123" s="14" t="str">
        <f>=HYPERLINK("https://ucloud.univie.ac.at/index.php/f/1515117663","Open Cytogram")</f>
      </c>
      <c r="L123" s="9" t="s">
        <v>314</v>
      </c>
      <c r="M123" t="s">
        <v>14</v>
      </c>
      <c r="N123" t="s">
        <v>314</v>
      </c>
      <c r="O123" t="s">
        <v>245</v>
      </c>
    </row>
    <row r="124">
      <c r="A124" s="2" t="s">
        <v>314</v>
      </c>
      <c r="B124" s="3" t="n">
        <v>46169</v>
      </c>
      <c r="C124" s="3" t="n">
        <v>46168</v>
      </c>
      <c r="D124" s="4" t="n">
        <f t="shared" si="71"/>
        <v>1</v>
      </c>
      <c r="E124" s="5" t="n">
        <v>1391039.7265276001</v>
      </c>
      <c r="F124" s="6" t="n">
        <v>28.352625992013301</v>
      </c>
      <c r="G124" s="7" t="n">
        <v>1737249.6495499699</v>
      </c>
      <c r="H124" s="8" t="n">
        <v>35.409189708335397</v>
      </c>
      <c r="I124" s="12" t="n">
        <v>1635817.08614299</v>
      </c>
      <c r="J124" s="13" t="n">
        <v>33.341758075115003</v>
      </c>
      <c r="K124" s="14" t="str">
        <f>=HYPERLINK("https://ucloud.univie.ac.at/index.php/f/1515117663","Open Cytogram")</f>
      </c>
      <c r="L124" s="9" t="s">
        <v>314</v>
      </c>
      <c r="M124" s="10" t="s">
        <v>14</v>
      </c>
      <c r="N124" s="10" t="s">
        <v>314</v>
      </c>
      <c r="O124" s="10" t="s">
        <v>245</v>
      </c>
    </row>
    <row r="125">
      <c r="A125" s="2" t="s">
        <v>314</v>
      </c>
      <c r="B125" s="3" t="n">
        <v>46171</v>
      </c>
      <c r="C125" s="3" t="n">
        <v>46168</v>
      </c>
      <c r="D125" s="4" t="n">
        <f t="shared" si="71"/>
        <v>3</v>
      </c>
      <c r="E125" s="5" t="n">
        <v>1453784.07544926</v>
      </c>
      <c r="F125" s="6" t="n">
        <v>36.274752475247503</v>
      </c>
      <c r="G125" s="7" t="n">
        <v>1653177.1830339101</v>
      </c>
      <c r="H125" s="8" t="n">
        <v>41.25</v>
      </c>
      <c r="I125" s="12" t="n">
        <v>790793.72601772205</v>
      </c>
      <c r="J125" s="13" t="n">
        <v>19.731848184818499</v>
      </c>
      <c r="K125" s="14" t="str">
        <f>=HYPERLINK("https://ucloud.univie.ac.at/index.php/f/1515117663","Open Cytogram")</f>
      </c>
      <c r="L125" s="9" t="s">
        <v>314</v>
      </c>
      <c r="M125" t="s">
        <v>14</v>
      </c>
      <c r="N125" t="s">
        <v>314</v>
      </c>
      <c r="O125" t="s">
        <v>245</v>
      </c>
    </row>
    <row r="126">
      <c r="A126" s="2" t="s">
        <v>314</v>
      </c>
      <c r="B126" s="3" t="n">
        <v>46175</v>
      </c>
      <c r="C126" s="3" t="n">
        <v>46168</v>
      </c>
      <c r="D126" s="4" t="n">
        <f t="shared" si="71"/>
        <v>7</v>
      </c>
      <c r="E126" s="5" t="n">
        <v>3283540.5834703702</v>
      </c>
      <c r="F126" s="6" t="n">
        <v>20.444348576358902</v>
      </c>
      <c r="G126" s="7" t="n">
        <v>9419652.7183540091</v>
      </c>
      <c r="H126" s="8" t="n">
        <v>58.649698015530603</v>
      </c>
      <c r="I126" s="12" t="n">
        <v>2877515.09667703</v>
      </c>
      <c r="J126" s="13" t="n">
        <v>17.916307161346001</v>
      </c>
      <c r="K126" s="14" t="str">
        <f>=HYPERLINK("https://ucloud.univie.ac.at/index.php/f/1515117663","Open Cytogram")</f>
      </c>
      <c r="L126" s="9" t="s">
        <v>314</v>
      </c>
      <c r="M126" s="10" t="s">
        <v>14</v>
      </c>
      <c r="N126" s="10" t="s">
        <v>314</v>
      </c>
      <c r="O126" s="10" t="s">
        <v>245</v>
      </c>
    </row>
    <row r="127">
      <c r="A127" s="2" t="s">
        <v>314</v>
      </c>
      <c r="B127" s="3" t="n">
        <v>46178</v>
      </c>
      <c r="C127" s="3" t="n">
        <v>46168</v>
      </c>
      <c r="D127" s="4" t="n">
        <f t="shared" si="71"/>
        <v>10</v>
      </c>
      <c r="E127" s="5" t="n">
        <v>7016075.9101825897</v>
      </c>
      <c r="F127" s="6" t="n">
        <v>44.743111252283001</v>
      </c>
      <c r="G127" s="7" t="n">
        <v>4320219.2511098599</v>
      </c>
      <c r="H127" s="8" t="n">
        <v>27.5510204081633</v>
      </c>
      <c r="I127" s="12" t="n">
        <v>3709448.9549088599</v>
      </c>
      <c r="J127" s="13" t="n">
        <v>23.655999364726402</v>
      </c>
      <c r="K127" s="14" t="str">
        <f>=HYPERLINK("https://ucloud.univie.ac.at/index.php/f/1525440666","Open Cytogram")</f>
      </c>
      <c r="L127" s="9" t="s">
        <v>314</v>
      </c>
      <c r="M127" t="s">
        <v>14</v>
      </c>
      <c r="N127" t="s">
        <v>314</v>
      </c>
      <c r="O127" t="s">
        <v>185</v>
      </c>
    </row>
    <row r="128">
      <c r="A128" s="2" t="s">
        <v>314</v>
      </c>
      <c r="B128" s="3" t="n">
        <v>46182</v>
      </c>
      <c r="C128" s="3" t="n">
        <v>46168</v>
      </c>
      <c r="D128" s="4" t="n">
        <f t="shared" si="71"/>
        <v>14</v>
      </c>
      <c r="E128" s="5" t="n">
        <v>9587412.6311919205</v>
      </c>
      <c r="F128" s="6" t="n">
        <v>51.829288815590203</v>
      </c>
      <c r="G128" s="7" t="n">
        <v>3257441.5797386901</v>
      </c>
      <c r="H128" s="8" t="n">
        <v>17.609639527447701</v>
      </c>
      <c r="I128" s="12" t="n">
        <v>4850674.1872599702</v>
      </c>
      <c r="J128" s="13" t="n">
        <v>26.222611154117999</v>
      </c>
      <c r="K128" s="14" t="str">
        <f>=HYPERLINK("https://ucloud.univie.ac.at/index.php/f/1525440666","Open Cytogram")</f>
      </c>
      <c r="L128" s="9" t="s">
        <v>314</v>
      </c>
      <c r="M128" s="10" t="s">
        <v>14</v>
      </c>
      <c r="N128" s="10" t="s">
        <v>314</v>
      </c>
      <c r="O128" s="10" t="s">
        <v>185</v>
      </c>
    </row>
    <row r="129">
      <c r="A129" s="2" t="s">
        <v>314</v>
      </c>
      <c r="B129" s="3" t="n">
        <v>46188</v>
      </c>
      <c r="C129" s="3" t="n">
        <v>46168</v>
      </c>
      <c r="D129" s="4" t="n">
        <f t="shared" si="71"/>
        <v>20</v>
      </c>
      <c r="E129" s="5" t="n">
        <v>6783928.7348287897</v>
      </c>
      <c r="F129" s="6" t="n">
        <v>30.075819825203599</v>
      </c>
      <c r="G129" s="7" t="n">
        <v>11931795.426436501</v>
      </c>
      <c r="H129" s="8" t="n">
        <v>52.898334204825602</v>
      </c>
      <c r="I129" s="12" t="n">
        <v>3723683.9500705702</v>
      </c>
      <c r="J129" s="13" t="n">
        <v>16.5085530738776</v>
      </c>
      <c r="K129" s="14" t="str">
        <f>=HYPERLINK("https://ucloud.univie.ac.at/index.php/f/1525440666","Open Cytogram")</f>
      </c>
      <c r="L129" s="9" t="s">
        <v>314</v>
      </c>
      <c r="M129" t="s">
        <v>14</v>
      </c>
      <c r="N129" t="s">
        <v>314</v>
      </c>
      <c r="O129" t="s">
        <v>185</v>
      </c>
    </row>
    <row r="130">
      <c r="A130" s="2" t="s">
        <v>314</v>
      </c>
      <c r="B130" s="3" t="n">
        <v>46196</v>
      </c>
      <c r="C130" s="3" t="n">
        <v>46168</v>
      </c>
      <c r="D130" s="4" t="n">
        <f t="shared" ref="D130:D193" si="84">IF(OR(C130="",B130=""),"",B130-C130)</f>
        <v>28</v>
      </c>
      <c r="E130" s="5" t="n">
        <v>1082792.92028105</v>
      </c>
      <c r="F130" s="6" t="n">
        <v>34.147952443857299</v>
      </c>
      <c r="G130" s="7" t="n">
        <v>1145362.43380792</v>
      </c>
      <c r="H130" s="8" t="n">
        <v>36.121202113606302</v>
      </c>
      <c r="I130" s="12" t="n">
        <v>778584.65786166105</v>
      </c>
      <c r="J130" s="13" t="n">
        <v>24.554161162483499</v>
      </c>
      <c r="K130" s="14" t="str">
        <f>=HYPERLINK("https://ucloud.univie.ac.at/index.php/f/1547934963","Open Cytogram")</f>
      </c>
      <c r="L130" s="9" t="s">
        <v>314</v>
      </c>
      <c r="M130" s="10" t="s">
        <v>14</v>
      </c>
      <c r="N130" s="10" t="s">
        <v>314</v>
      </c>
      <c r="O130" s="10" t="s">
        <v>201</v>
      </c>
    </row>
    <row r="131">
      <c r="A131" s="2" t="s">
        <v>314</v>
      </c>
      <c r="B131" s="3" t="n">
        <v>46204</v>
      </c>
      <c r="C131" s="3" t="n">
        <v>46168</v>
      </c>
      <c r="D131" s="4" t="n">
        <f t="shared" si="84"/>
        <v>36</v>
      </c>
      <c r="E131" s="5" t="n">
        <v>634817.03471536003</v>
      </c>
      <c r="F131" s="6" t="n">
        <v>30.102480605305999</v>
      </c>
      <c r="G131" s="7" t="n">
        <v>637846.70557782601</v>
      </c>
      <c r="H131" s="8" t="n">
        <v>30.246145005267699</v>
      </c>
      <c r="I131" s="12" t="n">
        <v>725303.20447434206</v>
      </c>
      <c r="J131" s="13" t="n">
        <v>34.393257350828499</v>
      </c>
      <c r="K131" s="14" t="str">
        <f>=HYPERLINK("https://ucloud.univie.ac.at/index.php/f/1552579888","Open Cytogram")</f>
      </c>
      <c r="L131" s="9" t="s">
        <v>314</v>
      </c>
      <c r="M131" t="s">
        <v>14</v>
      </c>
      <c r="N131" t="s">
        <v>314</v>
      </c>
      <c r="O131" t="s">
        <v>218</v>
      </c>
    </row>
    <row r="132">
      <c r="A132" s="17" t="s">
        <v>314</v>
      </c>
      <c r="B132" s="18" t="n">
        <v>46213</v>
      </c>
      <c r="C132" s="18" t="n">
        <v>46168</v>
      </c>
      <c r="D132" s="19" t="n">
        <f t="shared" si="84"/>
        <v>45</v>
      </c>
      <c r="E132" s="20" t="n">
        <v>2537478.10108242</v>
      </c>
      <c r="F132" s="21" t="n">
        <v>24.9011689691817</v>
      </c>
      <c r="G132" s="22" t="n">
        <v>4893893.4083354697</v>
      </c>
      <c r="H132" s="23" t="n">
        <v>48.025504782146697</v>
      </c>
      <c r="I132" s="27" t="n">
        <v>2462540.6289951401</v>
      </c>
      <c r="J132" s="28" t="n">
        <v>24.165781083953199</v>
      </c>
      <c r="K132" s="24" t="str">
        <f>=HYPERLINK("https://ucloud.univie.ac.at/index.php/f/1552579888","Open Cytogram")</f>
      </c>
      <c r="L132" s="15" t="s">
        <v>314</v>
      </c>
      <c r="M132" s="16" t="s">
        <v>14</v>
      </c>
      <c r="N132" s="16" t="s">
        <v>314</v>
      </c>
      <c r="O132" s="16" t="s">
        <v>218</v>
      </c>
    </row>
    <row r="133">
      <c r="A133" s="2" t="s">
        <v>249</v>
      </c>
      <c r="B133" s="3" t="n">
        <v>46168</v>
      </c>
      <c r="C133" s="3" t="n">
        <v>46168</v>
      </c>
      <c r="D133" s="4" t="n">
        <f t="shared" si="84"/>
        <v>0</v>
      </c>
      <c r="E133" s="5" t="n">
        <v>4007228.2148300898</v>
      </c>
      <c r="F133" s="6" t="n">
        <v>41.0345309660282</v>
      </c>
      <c r="G133" s="7" t="n">
        <v>2349017.7386333598</v>
      </c>
      <c r="H133" s="8" t="n">
        <v>24.054242974975502</v>
      </c>
      <c r="I133" s="12" t="n">
        <v>2977024.3408484901</v>
      </c>
      <c r="J133" s="13" t="n">
        <v>30.485111142178098</v>
      </c>
      <c r="K133" s="14" t="str">
        <f>=HYPERLINK("https://ucloud.univie.ac.at/index.php/f/1515117663","Open Cytogram")</f>
      </c>
      <c r="L133" s="9" t="s">
        <v>314</v>
      </c>
      <c r="M133" t="s">
        <v>14</v>
      </c>
      <c r="N133" t="s">
        <v>314</v>
      </c>
      <c r="O133" t="s">
        <v>245</v>
      </c>
    </row>
    <row r="134">
      <c r="A134" s="2" t="s">
        <v>314</v>
      </c>
      <c r="B134" s="3" t="n">
        <v>46168</v>
      </c>
      <c r="C134" s="3" t="n">
        <v>46168</v>
      </c>
      <c r="D134" s="4" t="n">
        <f t="shared" si="84"/>
        <v>0</v>
      </c>
      <c r="E134" s="5" t="n">
        <v>3033332.2701913901</v>
      </c>
      <c r="F134" s="6" t="n">
        <v>42.124357235243998</v>
      </c>
      <c r="G134" s="7" t="n">
        <v>2136939.7637752099</v>
      </c>
      <c r="H134" s="8" t="n">
        <v>29.676015016246598</v>
      </c>
      <c r="I134" s="12" t="n">
        <v>1684654.5432291899</v>
      </c>
      <c r="J134" s="13" t="n">
        <v>23.395059781065701</v>
      </c>
      <c r="K134" s="14" t="str">
        <f>=HYPERLINK("https://ucloud.univie.ac.at/index.php/f/1515117663","Open Cytogram")</f>
      </c>
      <c r="L134" s="9" t="s">
        <v>314</v>
      </c>
      <c r="M134" s="10" t="s">
        <v>14</v>
      </c>
      <c r="N134" s="10" t="s">
        <v>314</v>
      </c>
      <c r="O134" s="10" t="s">
        <v>245</v>
      </c>
    </row>
    <row r="135">
      <c r="A135" s="2" t="s">
        <v>314</v>
      </c>
      <c r="B135" s="3" t="n">
        <v>46169</v>
      </c>
      <c r="C135" s="3" t="n">
        <v>46168</v>
      </c>
      <c r="D135" s="4" t="n">
        <f t="shared" si="84"/>
        <v>1</v>
      </c>
      <c r="E135" s="5" t="n">
        <v>461586.93723405199</v>
      </c>
      <c r="F135" s="6" t="n">
        <v>31.867283950617299</v>
      </c>
      <c r="G135" s="7" t="n">
        <v>136212.85224067801</v>
      </c>
      <c r="H135" s="8" t="n">
        <v>9.4039351851851904</v>
      </c>
      <c r="I135" s="12" t="n">
        <v>800652.16019623296</v>
      </c>
      <c r="J135" s="13" t="n">
        <v>55.275848765432102</v>
      </c>
      <c r="K135" s="14" t="str">
        <f>=HYPERLINK("https://ucloud.univie.ac.at/index.php/f/1515117663","Open Cytogram")</f>
      </c>
      <c r="L135" s="9" t="s">
        <v>314</v>
      </c>
      <c r="M135" t="s">
        <v>14</v>
      </c>
      <c r="N135" t="s">
        <v>314</v>
      </c>
      <c r="O135" t="s">
        <v>245</v>
      </c>
    </row>
    <row r="136">
      <c r="A136" s="2" t="s">
        <v>314</v>
      </c>
      <c r="B136" s="3" t="n">
        <v>46171</v>
      </c>
      <c r="C136" s="3" t="n">
        <v>46168</v>
      </c>
      <c r="D136" s="4" t="n">
        <f t="shared" si="84"/>
        <v>3</v>
      </c>
      <c r="E136" s="5" t="n">
        <v>1418429.8346662601</v>
      </c>
      <c r="F136" s="6" t="n">
        <v>45.022393685424099</v>
      </c>
      <c r="G136" s="7" t="n">
        <v>695314.221130108</v>
      </c>
      <c r="H136" s="8" t="n">
        <v>22.069974723959</v>
      </c>
      <c r="I136" s="12" t="n">
        <v>906828.33219922299</v>
      </c>
      <c r="J136" s="13" t="n">
        <v>28.783645958050599</v>
      </c>
      <c r="K136" s="14" t="str">
        <f>=HYPERLINK("https://ucloud.univie.ac.at/index.php/f/1515117663","Open Cytogram")</f>
      </c>
      <c r="L136" s="9" t="s">
        <v>314</v>
      </c>
      <c r="M136" s="10" t="s">
        <v>14</v>
      </c>
      <c r="N136" s="10" t="s">
        <v>314</v>
      </c>
      <c r="O136" s="10" t="s">
        <v>245</v>
      </c>
    </row>
    <row r="137">
      <c r="A137" s="2" t="s">
        <v>314</v>
      </c>
      <c r="B137" s="3" t="n">
        <v>46175</v>
      </c>
      <c r="C137" s="3" t="n">
        <v>46168</v>
      </c>
      <c r="D137" s="4" t="n">
        <f t="shared" si="84"/>
        <v>7</v>
      </c>
      <c r="E137" s="5" t="n">
        <v>4415550.5784934899</v>
      </c>
      <c r="F137" s="6" t="n">
        <v>47.426687659909497</v>
      </c>
      <c r="G137" s="7" t="n">
        <v>1994075.2845919901</v>
      </c>
      <c r="H137" s="8" t="n">
        <v>21.418027947254501</v>
      </c>
      <c r="I137" s="12" t="n">
        <v>2664722.2445374699</v>
      </c>
      <c r="J137" s="13" t="n">
        <v>28.621334382995499</v>
      </c>
      <c r="K137" s="14" t="str">
        <f>=HYPERLINK("https://ucloud.univie.ac.at/index.php/f/1515117663","Open Cytogram")</f>
      </c>
      <c r="L137" s="9" t="s">
        <v>314</v>
      </c>
      <c r="M137" t="s">
        <v>14</v>
      </c>
      <c r="N137" t="s">
        <v>314</v>
      </c>
      <c r="O137" t="s">
        <v>245</v>
      </c>
    </row>
    <row r="138">
      <c r="A138" s="2" t="s">
        <v>314</v>
      </c>
      <c r="B138" s="3" t="n">
        <v>46178</v>
      </c>
      <c r="C138" s="3" t="n">
        <v>46168</v>
      </c>
      <c r="D138" s="4" t="n">
        <f t="shared" si="84"/>
        <v>10</v>
      </c>
      <c r="E138" s="5" t="n">
        <v>4585726.5325240605</v>
      </c>
      <c r="F138" s="6" t="n">
        <v>40.306594001976002</v>
      </c>
      <c r="G138" s="7" t="n">
        <v>792993.11509686999</v>
      </c>
      <c r="H138" s="8" t="n">
        <v>6.9700736208050502</v>
      </c>
      <c r="I138" s="12" t="n">
        <v>5827248.4466034696</v>
      </c>
      <c r="J138" s="13" t="n">
        <v>51.219045797877399</v>
      </c>
      <c r="K138" s="14" t="str">
        <f>=HYPERLINK("https://ucloud.univie.ac.at/index.php/f/1525440666","Open Cytogram")</f>
      </c>
      <c r="L138" s="9" t="s">
        <v>314</v>
      </c>
      <c r="M138" s="10" t="s">
        <v>14</v>
      </c>
      <c r="N138" s="10" t="s">
        <v>314</v>
      </c>
      <c r="O138" s="10" t="s">
        <v>185</v>
      </c>
    </row>
    <row r="139">
      <c r="A139" s="2" t="s">
        <v>314</v>
      </c>
      <c r="B139" s="3" t="n">
        <v>46182</v>
      </c>
      <c r="C139" s="3" t="n">
        <v>46168</v>
      </c>
      <c r="D139" s="4" t="n">
        <f t="shared" si="84"/>
        <v>14</v>
      </c>
      <c r="E139" s="5" t="n">
        <v>2153212.1254798402</v>
      </c>
      <c r="F139" s="6" t="n">
        <v>31.949560782091201</v>
      </c>
      <c r="G139" s="7" t="n">
        <v>287413.23714830697</v>
      </c>
      <c r="H139" s="8" t="n">
        <v>4.2646642108246002</v>
      </c>
      <c r="I139" s="12" t="n">
        <v>4181974.0009873798</v>
      </c>
      <c r="J139" s="13" t="n">
        <v>62.052517238122199</v>
      </c>
      <c r="K139" s="14" t="str">
        <f>=HYPERLINK("https://ucloud.univie.ac.at/index.php/f/1525440666","Open Cytogram")</f>
      </c>
      <c r="L139" s="9" t="s">
        <v>314</v>
      </c>
      <c r="M139" t="s">
        <v>14</v>
      </c>
      <c r="N139" t="s">
        <v>314</v>
      </c>
      <c r="O139" t="s">
        <v>185</v>
      </c>
    </row>
    <row r="140">
      <c r="A140" s="2" t="s">
        <v>314</v>
      </c>
      <c r="B140" s="3" t="n">
        <v>46188</v>
      </c>
      <c r="C140" s="3" t="n">
        <v>46168</v>
      </c>
      <c r="D140" s="4" t="n">
        <f t="shared" si="84"/>
        <v>20</v>
      </c>
      <c r="E140" s="5" t="n">
        <v>2843895.0984719</v>
      </c>
      <c r="F140" s="6" t="n">
        <v>29.784326144204801</v>
      </c>
      <c r="G140" s="7" t="n">
        <v>3186372.0012089699</v>
      </c>
      <c r="H140" s="8" t="n">
        <v>33.371112370412298</v>
      </c>
      <c r="I140" s="12" t="n">
        <v>3425405.6015393999</v>
      </c>
      <c r="J140" s="13" t="n">
        <v>35.874529150971703</v>
      </c>
      <c r="K140" s="14" t="str">
        <f>=HYPERLINK("https://ucloud.univie.ac.at/index.php/f/1525440666","Open Cytogram")</f>
      </c>
      <c r="L140" s="9" t="s">
        <v>314</v>
      </c>
      <c r="M140" s="10" t="s">
        <v>14</v>
      </c>
      <c r="N140" s="10" t="s">
        <v>314</v>
      </c>
      <c r="O140" s="10" t="s">
        <v>185</v>
      </c>
    </row>
    <row r="141">
      <c r="A141" s="2" t="s">
        <v>314</v>
      </c>
      <c r="B141" s="3" t="n">
        <v>46196</v>
      </c>
      <c r="C141" s="3" t="n">
        <v>46168</v>
      </c>
      <c r="D141" s="4" t="n">
        <f t="shared" si="84"/>
        <v>28</v>
      </c>
      <c r="E141" s="5" t="n">
        <v>2083818.0969535301</v>
      </c>
      <c r="F141" s="6" t="n">
        <v>37.002520368090998</v>
      </c>
      <c r="G141" s="7" t="n">
        <v>951631.16957342601</v>
      </c>
      <c r="H141" s="8" t="n">
        <v>16.898188851767198</v>
      </c>
      <c r="I141" s="12" t="n">
        <v>2506985.33919881</v>
      </c>
      <c r="J141" s="13" t="n">
        <v>44.516734071859801</v>
      </c>
      <c r="K141" s="14" t="str">
        <f>=HYPERLINK("https://ucloud.univie.ac.at/index.php/f/1547934963","Open Cytogram")</f>
      </c>
      <c r="L141" s="9" t="s">
        <v>314</v>
      </c>
      <c r="M141" t="s">
        <v>14</v>
      </c>
      <c r="N141" t="s">
        <v>314</v>
      </c>
      <c r="O141" t="s">
        <v>201</v>
      </c>
    </row>
    <row r="142">
      <c r="A142" s="2" t="s">
        <v>314</v>
      </c>
      <c r="B142" s="3" t="n">
        <v>46204</v>
      </c>
      <c r="C142" s="3" t="n">
        <v>46168</v>
      </c>
      <c r="D142" s="4" t="n">
        <f t="shared" si="84"/>
        <v>36</v>
      </c>
      <c r="E142" s="5" t="n">
        <v>426375.67937770399</v>
      </c>
      <c r="F142" s="6" t="n">
        <v>17.373055715579</v>
      </c>
      <c r="G142" s="7" t="n">
        <v>99575.182346379996</v>
      </c>
      <c r="H142" s="8" t="n">
        <v>4.0572792362768499</v>
      </c>
      <c r="I142" s="12" t="n">
        <v>1774983.1692900399</v>
      </c>
      <c r="J142" s="13" t="n">
        <v>72.323265574849799</v>
      </c>
      <c r="K142" s="14" t="str">
        <f>=HYPERLINK("https://ucloud.univie.ac.at/index.php/f/1552579888","Open Cytogram")</f>
      </c>
      <c r="L142" s="9" t="s">
        <v>314</v>
      </c>
      <c r="M142" s="10" t="s">
        <v>14</v>
      </c>
      <c r="N142" s="10" t="s">
        <v>314</v>
      </c>
      <c r="O142" s="10" t="s">
        <v>218</v>
      </c>
    </row>
    <row r="143">
      <c r="A143" s="17" t="s">
        <v>314</v>
      </c>
      <c r="B143" s="18" t="n">
        <v>46213</v>
      </c>
      <c r="C143" s="18" t="n">
        <v>46168</v>
      </c>
      <c r="D143" s="19" t="n">
        <f t="shared" si="84"/>
        <v>45</v>
      </c>
      <c r="E143" s="20" t="n">
        <v>1813894.1113504099</v>
      </c>
      <c r="F143" s="21" t="n">
        <v>23.773262032085601</v>
      </c>
      <c r="G143" s="22" t="n">
        <v>2098855.3420880199</v>
      </c>
      <c r="H143" s="23" t="n">
        <v>27.508021390374299</v>
      </c>
      <c r="I143" s="27" t="n">
        <v>3440425.3974506599</v>
      </c>
      <c r="J143" s="28" t="n">
        <v>45.090909090909101</v>
      </c>
      <c r="K143" s="24" t="str">
        <f>=HYPERLINK("https://ucloud.univie.ac.at/index.php/f/1552579888","Open Cytogram")</f>
      </c>
      <c r="L143" s="15" t="s">
        <v>314</v>
      </c>
      <c r="M143" s="25" t="s">
        <v>14</v>
      </c>
      <c r="N143" s="25" t="s">
        <v>314</v>
      </c>
      <c r="O143" s="25" t="s">
        <v>218</v>
      </c>
    </row>
    <row r="144">
      <c r="A144" s="2" t="s">
        <v>250</v>
      </c>
      <c r="B144" s="3" t="n">
        <v>46168</v>
      </c>
      <c r="C144" s="3" t="n">
        <v>46168</v>
      </c>
      <c r="D144" s="4" t="n">
        <f t="shared" si="84"/>
        <v>0</v>
      </c>
      <c r="E144" s="5" t="n">
        <v>352057.83366263402</v>
      </c>
      <c r="F144" s="6" t="n">
        <v>37.2340425531915</v>
      </c>
      <c r="G144" s="7" t="n">
        <v>273892.61226015602</v>
      </c>
      <c r="H144" s="8" t="n">
        <v>28.9671985815603</v>
      </c>
      <c r="I144" s="12" t="n">
        <v>277455.10224364698</v>
      </c>
      <c r="J144" s="13" t="n">
        <v>29.343971631205701</v>
      </c>
      <c r="K144" s="14" t="str">
        <f>=HYPERLINK("https://ucloud.univie.ac.at/index.php/f/1515117663","Open Cytogram")</f>
      </c>
      <c r="L144" s="9" t="s">
        <v>314</v>
      </c>
      <c r="M144" s="10" t="s">
        <v>14</v>
      </c>
      <c r="N144" s="10" t="s">
        <v>314</v>
      </c>
      <c r="O144" s="10" t="s">
        <v>245</v>
      </c>
    </row>
    <row r="145">
      <c r="A145" s="2" t="s">
        <v>314</v>
      </c>
      <c r="B145" s="3" t="n">
        <v>46168</v>
      </c>
      <c r="C145" s="3" t="n">
        <v>46168</v>
      </c>
      <c r="D145" s="4" t="n">
        <f t="shared" si="84"/>
        <v>0</v>
      </c>
      <c r="E145" s="5" t="n">
        <v>1479271.57578512</v>
      </c>
      <c r="F145" s="6" t="n">
        <v>41.119589910875497</v>
      </c>
      <c r="G145" s="7" t="n">
        <v>819582.25427052297</v>
      </c>
      <c r="H145" s="8" t="n">
        <v>22.7820819013223</v>
      </c>
      <c r="I145" s="12" t="n">
        <v>1126165.9510226999</v>
      </c>
      <c r="J145" s="13" t="n">
        <v>31.304246519485101</v>
      </c>
      <c r="K145" s="14" t="str">
        <f>=HYPERLINK("https://ucloud.univie.ac.at/index.php/f/1515117663","Open Cytogram")</f>
      </c>
      <c r="L145" s="9" t="s">
        <v>314</v>
      </c>
      <c r="M145" t="s">
        <v>14</v>
      </c>
      <c r="N145" t="s">
        <v>314</v>
      </c>
      <c r="O145" t="s">
        <v>245</v>
      </c>
    </row>
    <row r="146">
      <c r="A146" s="2" t="s">
        <v>314</v>
      </c>
      <c r="B146" s="3" t="n">
        <v>46169</v>
      </c>
      <c r="C146" s="3" t="n">
        <v>46168</v>
      </c>
      <c r="D146" s="4" t="n">
        <f t="shared" si="84"/>
        <v>1</v>
      </c>
      <c r="E146" s="5" t="n">
        <v>1264055.26879349</v>
      </c>
      <c r="F146" s="6" t="n">
        <v>31.201075899168899</v>
      </c>
      <c r="G146" s="7" t="n">
        <v>904593.04436758102</v>
      </c>
      <c r="H146" s="8" t="n">
        <v>22.328356150212102</v>
      </c>
      <c r="I146" s="12" t="n">
        <v>1715443.7052956801</v>
      </c>
      <c r="J146" s="13" t="n">
        <v>42.3428394082555</v>
      </c>
      <c r="K146" s="14" t="str">
        <f>=HYPERLINK("https://ucloud.univie.ac.at/index.php/f/1515117663","Open Cytogram")</f>
      </c>
      <c r="L146" s="9" t="s">
        <v>314</v>
      </c>
      <c r="M146" s="10" t="s">
        <v>14</v>
      </c>
      <c r="N146" s="10" t="s">
        <v>314</v>
      </c>
      <c r="O146" s="10" t="s">
        <v>245</v>
      </c>
    </row>
    <row r="147">
      <c r="A147" s="2" t="s">
        <v>314</v>
      </c>
      <c r="B147" s="3" t="n">
        <v>46171</v>
      </c>
      <c r="C147" s="3" t="n">
        <v>46168</v>
      </c>
      <c r="D147" s="4" t="n">
        <f t="shared" si="84"/>
        <v>3</v>
      </c>
      <c r="E147" s="5" t="n">
        <v>2109832.3020910001</v>
      </c>
      <c r="F147" s="6" t="n">
        <v>46.149614961496098</v>
      </c>
      <c r="G147" s="7" t="n">
        <v>963548.76092713606</v>
      </c>
      <c r="H147" s="8" t="n">
        <v>21.076274294096098</v>
      </c>
      <c r="I147" s="12" t="n">
        <v>1325106.56769521</v>
      </c>
      <c r="J147" s="13" t="n">
        <v>28.984842928737301</v>
      </c>
      <c r="K147" s="14" t="str">
        <f>=HYPERLINK("https://ucloud.univie.ac.at/index.php/f/1515117663","Open Cytogram")</f>
      </c>
      <c r="L147" s="9" t="s">
        <v>314</v>
      </c>
      <c r="M147" t="s">
        <v>14</v>
      </c>
      <c r="N147" t="s">
        <v>314</v>
      </c>
      <c r="O147" t="s">
        <v>245</v>
      </c>
    </row>
    <row r="148">
      <c r="A148" s="2" t="s">
        <v>314</v>
      </c>
      <c r="B148" s="3" t="n">
        <v>46175</v>
      </c>
      <c r="C148" s="3" t="n">
        <v>46168</v>
      </c>
      <c r="D148" s="4" t="n">
        <f t="shared" si="84"/>
        <v>7</v>
      </c>
      <c r="E148" s="5" t="n">
        <v>4142476.8933244301</v>
      </c>
      <c r="F148" s="6" t="n">
        <v>44.2024745025915</v>
      </c>
      <c r="G148" s="7" t="n">
        <v>1951175.16838288</v>
      </c>
      <c r="H148" s="8" t="n">
        <v>20.8200969737502</v>
      </c>
      <c r="I148" s="12" t="n">
        <v>3036641.2176880399</v>
      </c>
      <c r="J148" s="13" t="n">
        <v>32.402608259488403</v>
      </c>
      <c r="K148" s="14" t="str">
        <f>=HYPERLINK("https://ucloud.univie.ac.at/index.php/f/1515117663","Open Cytogram")</f>
      </c>
      <c r="L148" s="9" t="s">
        <v>314</v>
      </c>
      <c r="M148" s="10" t="s">
        <v>14</v>
      </c>
      <c r="N148" s="10" t="s">
        <v>314</v>
      </c>
      <c r="O148" s="10" t="s">
        <v>245</v>
      </c>
    </row>
    <row r="149">
      <c r="A149" s="2" t="s">
        <v>314</v>
      </c>
      <c r="B149" s="3" t="n">
        <v>46178</v>
      </c>
      <c r="C149" s="3" t="n">
        <v>46168</v>
      </c>
      <c r="D149" s="4" t="n">
        <f t="shared" si="84"/>
        <v>10</v>
      </c>
      <c r="E149" s="5" t="n">
        <v>2816267.7297473201</v>
      </c>
      <c r="F149" s="6" t="n">
        <v>31.817623202654499</v>
      </c>
      <c r="G149" s="7" t="n">
        <v>443452.48274507199</v>
      </c>
      <c r="H149" s="8" t="n">
        <v>5.0100364589734099</v>
      </c>
      <c r="I149" s="12" t="n">
        <v>5434921.7202501101</v>
      </c>
      <c r="J149" s="13" t="n">
        <v>61.402646347957898</v>
      </c>
      <c r="K149" s="14" t="str">
        <f>=HYPERLINK("https://ucloud.univie.ac.at/index.php/f/1525440666","Open Cytogram")</f>
      </c>
      <c r="L149" s="9" t="s">
        <v>314</v>
      </c>
      <c r="M149" t="s">
        <v>14</v>
      </c>
      <c r="N149" t="s">
        <v>314</v>
      </c>
      <c r="O149" t="s">
        <v>185</v>
      </c>
    </row>
    <row r="150">
      <c r="A150" s="2" t="s">
        <v>314</v>
      </c>
      <c r="B150" s="3" t="n">
        <v>46182</v>
      </c>
      <c r="C150" s="3" t="n">
        <v>46168</v>
      </c>
      <c r="D150" s="4" t="n">
        <f t="shared" si="84"/>
        <v>14</v>
      </c>
      <c r="E150" s="5" t="n">
        <v>2572880.2677636901</v>
      </c>
      <c r="F150" s="6" t="n">
        <v>26.1921097770154</v>
      </c>
      <c r="G150" s="7" t="n">
        <v>227464.85667851899</v>
      </c>
      <c r="H150" s="8" t="n">
        <v>2.3156089193825</v>
      </c>
      <c r="I150" s="12" t="n">
        <v>6932623.3541019699</v>
      </c>
      <c r="J150" s="13" t="n">
        <v>70.5746140651801</v>
      </c>
      <c r="K150" s="14" t="str">
        <f>=HYPERLINK("https://ucloud.univie.ac.at/index.php/f/1525440666","Open Cytogram")</f>
      </c>
      <c r="L150" s="9" t="s">
        <v>314</v>
      </c>
      <c r="M150" s="10" t="s">
        <v>14</v>
      </c>
      <c r="N150" s="10" t="s">
        <v>314</v>
      </c>
      <c r="O150" s="10" t="s">
        <v>185</v>
      </c>
    </row>
    <row r="151">
      <c r="A151" s="2" t="s">
        <v>314</v>
      </c>
      <c r="B151" s="3" t="n">
        <v>46188</v>
      </c>
      <c r="C151" s="3" t="n">
        <v>46168</v>
      </c>
      <c r="D151" s="4" t="n">
        <f t="shared" si="84"/>
        <v>20</v>
      </c>
      <c r="E151" s="5" t="n">
        <v>2623003.8619481698</v>
      </c>
      <c r="F151" s="6" t="n">
        <v>32.409155261915998</v>
      </c>
      <c r="G151" s="7" t="n">
        <v>1890306.9938248</v>
      </c>
      <c r="H151" s="8" t="n">
        <v>23.356142834670401</v>
      </c>
      <c r="I151" s="12" t="n">
        <v>3364931.0555170602</v>
      </c>
      <c r="J151" s="13" t="n">
        <v>41.576215195847098</v>
      </c>
      <c r="K151" s="14" t="str">
        <f>=HYPERLINK("https://ucloud.univie.ac.at/index.php/f/1525440666","Open Cytogram")</f>
      </c>
      <c r="L151" s="9" t="s">
        <v>314</v>
      </c>
      <c r="M151" t="s">
        <v>14</v>
      </c>
      <c r="N151" t="s">
        <v>314</v>
      </c>
      <c r="O151" t="s">
        <v>185</v>
      </c>
    </row>
    <row r="152">
      <c r="A152" s="2" t="s">
        <v>314</v>
      </c>
      <c r="B152" s="3" t="n">
        <v>46196</v>
      </c>
      <c r="C152" s="3" t="n">
        <v>46168</v>
      </c>
      <c r="D152" s="4" t="n">
        <f t="shared" si="84"/>
        <v>28</v>
      </c>
      <c r="E152" s="5" t="n">
        <v>74124.742308568995</v>
      </c>
      <c r="F152" s="6" t="n">
        <v>11.383860079779099</v>
      </c>
      <c r="G152" s="7" t="n">
        <v>8990.8717085865392</v>
      </c>
      <c r="H152" s="8" t="n">
        <v>1.3807916538815601</v>
      </c>
      <c r="I152" s="12" t="n">
        <v>527264.67642132996</v>
      </c>
      <c r="J152" s="13" t="n">
        <v>80.9757594354096</v>
      </c>
      <c r="K152" s="14" t="str">
        <f>=HYPERLINK("https://ucloud.univie.ac.at/index.php/f/1547934963","Open Cytogram")</f>
      </c>
      <c r="L152" s="9" t="s">
        <v>314</v>
      </c>
      <c r="M152" s="10" t="s">
        <v>14</v>
      </c>
      <c r="N152" s="10" t="s">
        <v>314</v>
      </c>
      <c r="O152" s="10" t="s">
        <v>201</v>
      </c>
    </row>
    <row r="153">
      <c r="A153" s="2" t="s">
        <v>314</v>
      </c>
      <c r="B153" s="3" t="n">
        <v>46204</v>
      </c>
      <c r="C153" s="3" t="n">
        <v>46168</v>
      </c>
      <c r="D153" s="4" t="n">
        <f t="shared" si="84"/>
        <v>36</v>
      </c>
      <c r="E153" s="5" t="n">
        <v>744473.68996130198</v>
      </c>
      <c r="F153" s="6" t="n">
        <v>25.183445846786</v>
      </c>
      <c r="G153" s="7" t="n">
        <v>463560.68631914398</v>
      </c>
      <c r="H153" s="8" t="n">
        <v>15.6809509832697</v>
      </c>
      <c r="I153" s="12" t="n">
        <v>1748385.18096972</v>
      </c>
      <c r="J153" s="13" t="n">
        <v>59.1429410038157</v>
      </c>
      <c r="K153" s="14" t="str">
        <f>=HYPERLINK("https://ucloud.univie.ac.at/index.php/f/1547934963","Open Cytogram")</f>
      </c>
      <c r="L153" s="9" t="s">
        <v>314</v>
      </c>
      <c r="M153" t="s">
        <v>14</v>
      </c>
      <c r="N153" t="s">
        <v>314</v>
      </c>
      <c r="O153" t="s">
        <v>201</v>
      </c>
    </row>
    <row r="154">
      <c r="A154" s="17" t="s">
        <v>314</v>
      </c>
      <c r="B154" s="18" t="n">
        <v>46213</v>
      </c>
      <c r="C154" s="18" t="n">
        <v>46168</v>
      </c>
      <c r="D154" s="19" t="n">
        <f t="shared" si="84"/>
        <v>45</v>
      </c>
      <c r="E154" s="20" t="n">
        <v>1046222.14858465</v>
      </c>
      <c r="F154" s="21" t="n">
        <v>20.7173194903256</v>
      </c>
      <c r="G154" s="22" t="n">
        <v>1201606.39479813</v>
      </c>
      <c r="H154" s="23" t="n">
        <v>23.794242567248698</v>
      </c>
      <c r="I154" s="27" t="n">
        <v>2635335.88133235</v>
      </c>
      <c r="J154" s="28" t="n">
        <v>52.184992921189199</v>
      </c>
      <c r="K154" s="24" t="str">
        <f>=HYPERLINK("https://ucloud.univie.ac.at/index.php/f/1552579888","Open Cytogram")</f>
      </c>
      <c r="L154" s="15" t="s">
        <v>314</v>
      </c>
      <c r="M154" s="16" t="s">
        <v>14</v>
      </c>
      <c r="N154" s="16" t="s">
        <v>314</v>
      </c>
      <c r="O154" s="16" t="s">
        <v>218</v>
      </c>
    </row>
    <row r="155">
      <c r="A155" s="2" t="s">
        <v>251</v>
      </c>
      <c r="B155" s="3" t="n">
        <v>46168</v>
      </c>
      <c r="C155" s="3" t="n">
        <v>46168</v>
      </c>
      <c r="D155" s="4" t="n">
        <f t="shared" si="84"/>
        <v>0</v>
      </c>
      <c r="E155" s="5" t="n">
        <v>1089255.4658554399</v>
      </c>
      <c r="F155" s="6" t="n">
        <v>20.430336599914799</v>
      </c>
      <c r="G155" s="7" t="n">
        <v>3056503.08510635</v>
      </c>
      <c r="H155" s="8" t="n">
        <v>57.328504473796301</v>
      </c>
      <c r="I155" s="12" t="n">
        <v>1053817.7489266701</v>
      </c>
      <c r="J155" s="13" t="n">
        <v>19.7656582871751</v>
      </c>
      <c r="K155" s="14" t="str">
        <f>=HYPERLINK("https://ucloud.univie.ac.at/index.php/f/1515117663","Open Cytogram")</f>
      </c>
      <c r="L155" s="9" t="s">
        <v>314</v>
      </c>
      <c r="M155" t="s">
        <v>14</v>
      </c>
      <c r="N155" t="s">
        <v>314</v>
      </c>
      <c r="O155" t="s">
        <v>245</v>
      </c>
    </row>
    <row r="156">
      <c r="A156" s="2" t="s">
        <v>314</v>
      </c>
      <c r="B156" s="3" t="n">
        <v>46168</v>
      </c>
      <c r="C156" s="3" t="n">
        <v>46168</v>
      </c>
      <c r="D156" s="4" t="n">
        <f t="shared" si="84"/>
        <v>0</v>
      </c>
      <c r="E156" s="5" t="n">
        <v>1724035.5934246001</v>
      </c>
      <c r="F156" s="6" t="n">
        <v>42.551980966173602</v>
      </c>
      <c r="G156" s="7" t="n">
        <v>906758.47973115696</v>
      </c>
      <c r="H156" s="8" t="n">
        <v>22.380262749560401</v>
      </c>
      <c r="I156" s="12" t="n">
        <v>1284801.53437294</v>
      </c>
      <c r="J156" s="13" t="n">
        <v>31.710975483603999</v>
      </c>
      <c r="K156" s="14" t="str">
        <f>=HYPERLINK("https://ucloud.univie.ac.at/index.php/f/1515117663","Open Cytogram")</f>
      </c>
      <c r="L156" s="9" t="s">
        <v>314</v>
      </c>
      <c r="M156" s="10" t="s">
        <v>14</v>
      </c>
      <c r="N156" s="10" t="s">
        <v>314</v>
      </c>
      <c r="O156" s="10" t="s">
        <v>245</v>
      </c>
    </row>
    <row r="157">
      <c r="A157" s="2" t="s">
        <v>314</v>
      </c>
      <c r="B157" s="3" t="n">
        <v>46169</v>
      </c>
      <c r="C157" s="3" t="n">
        <v>46168</v>
      </c>
      <c r="D157" s="4" t="n">
        <f t="shared" si="84"/>
        <v>1</v>
      </c>
      <c r="E157" s="5" t="n">
        <v>509086.80365644302</v>
      </c>
      <c r="F157" s="6" t="n">
        <v>29.537164626732601</v>
      </c>
      <c r="G157" s="7" t="n">
        <v>333896.11985150899</v>
      </c>
      <c r="H157" s="8" t="n">
        <v>19.3726189511226</v>
      </c>
      <c r="I157" s="12" t="n">
        <v>832365.30630765203</v>
      </c>
      <c r="J157" s="13" t="n">
        <v>48.293750506606102</v>
      </c>
      <c r="K157" s="14" t="str">
        <f>=HYPERLINK("https://ucloud.univie.ac.at/index.php/f/1515117663","Open Cytogram")</f>
      </c>
      <c r="L157" s="9" t="s">
        <v>314</v>
      </c>
      <c r="M157" t="s">
        <v>14</v>
      </c>
      <c r="N157" t="s">
        <v>314</v>
      </c>
      <c r="O157" t="s">
        <v>245</v>
      </c>
    </row>
    <row r="158">
      <c r="A158" s="2" t="s">
        <v>314</v>
      </c>
      <c r="B158" s="3" t="n">
        <v>46171</v>
      </c>
      <c r="C158" s="3" t="n">
        <v>46168</v>
      </c>
      <c r="D158" s="4" t="n">
        <f t="shared" si="84"/>
        <v>3</v>
      </c>
      <c r="E158" s="5" t="n">
        <v>2284184.7536560199</v>
      </c>
      <c r="F158" s="6" t="n">
        <v>39.079305894163198</v>
      </c>
      <c r="G158" s="7" t="n">
        <v>1529984.66848097</v>
      </c>
      <c r="H158" s="8" t="n">
        <v>26.175964434246399</v>
      </c>
      <c r="I158" s="12" t="n">
        <v>1842855.1122615701</v>
      </c>
      <c r="J158" s="13" t="n">
        <v>31.5287537645203</v>
      </c>
      <c r="K158" s="14" t="str">
        <f>=HYPERLINK("https://ucloud.univie.ac.at/index.php/f/1515117663","Open Cytogram")</f>
      </c>
      <c r="L158" s="9" t="s">
        <v>314</v>
      </c>
      <c r="M158" s="10" t="s">
        <v>14</v>
      </c>
      <c r="N158" s="10" t="s">
        <v>314</v>
      </c>
      <c r="O158" s="10" t="s">
        <v>245</v>
      </c>
    </row>
    <row r="159">
      <c r="A159" s="2" t="s">
        <v>314</v>
      </c>
      <c r="B159" s="3" t="n">
        <v>46175</v>
      </c>
      <c r="C159" s="3" t="n">
        <v>46168</v>
      </c>
      <c r="D159" s="4" t="n">
        <f t="shared" si="84"/>
        <v>7</v>
      </c>
      <c r="E159" s="5" t="n">
        <v>4649758.9336889796</v>
      </c>
      <c r="F159" s="6" t="n">
        <v>39.118112312153997</v>
      </c>
      <c r="G159" s="7" t="n">
        <v>1782342.3039835601</v>
      </c>
      <c r="H159" s="8" t="n">
        <v>14.994727128921699</v>
      </c>
      <c r="I159" s="12" t="n">
        <v>5153123.7382206004</v>
      </c>
      <c r="J159" s="13" t="n">
        <v>43.3528868969154</v>
      </c>
      <c r="K159" s="14" t="str">
        <f>=HYPERLINK("https://ucloud.univie.ac.at/index.php/f/1515117663","Open Cytogram")</f>
      </c>
      <c r="L159" s="9" t="s">
        <v>314</v>
      </c>
      <c r="M159" t="s">
        <v>14</v>
      </c>
      <c r="N159" t="s">
        <v>314</v>
      </c>
      <c r="O159" t="s">
        <v>245</v>
      </c>
    </row>
    <row r="160">
      <c r="A160" s="2" t="s">
        <v>314</v>
      </c>
      <c r="B160" s="3" t="n">
        <v>46178</v>
      </c>
      <c r="C160" s="3" t="n">
        <v>46168</v>
      </c>
      <c r="D160" s="4" t="n">
        <f t="shared" si="84"/>
        <v>10</v>
      </c>
      <c r="E160" s="5" t="n">
        <v>2545409.9990763701</v>
      </c>
      <c r="F160" s="6" t="n">
        <v>29.526813880126198</v>
      </c>
      <c r="G160" s="7" t="n">
        <v>565646.66646141605</v>
      </c>
      <c r="H160" s="8" t="n">
        <v>6.5615141955835998</v>
      </c>
      <c r="I160" s="12" t="n">
        <v>5332670.2074667001</v>
      </c>
      <c r="J160" s="13" t="n">
        <v>61.859095688748702</v>
      </c>
      <c r="K160" s="14" t="str">
        <f>=HYPERLINK("https://ucloud.univie.ac.at/index.php/f/1525440666","Open Cytogram")</f>
      </c>
      <c r="L160" s="9" t="s">
        <v>314</v>
      </c>
      <c r="M160" s="10" t="s">
        <v>14</v>
      </c>
      <c r="N160" s="10" t="s">
        <v>314</v>
      </c>
      <c r="O160" s="10" t="s">
        <v>185</v>
      </c>
    </row>
    <row r="161">
      <c r="A161" s="2" t="s">
        <v>314</v>
      </c>
      <c r="B161" s="3" t="n">
        <v>46182</v>
      </c>
      <c r="C161" s="3" t="n">
        <v>46168</v>
      </c>
      <c r="D161" s="4" t="n">
        <f t="shared" si="84"/>
        <v>14</v>
      </c>
      <c r="E161" s="5" t="n">
        <v>3493955.9474501298</v>
      </c>
      <c r="F161" s="6" t="n">
        <v>37.692157246235098</v>
      </c>
      <c r="G161" s="7" t="n">
        <v>1089957.61498911</v>
      </c>
      <c r="H161" s="8" t="n">
        <v>11.7582632505378</v>
      </c>
      <c r="I161" s="12" t="n">
        <v>4386299.8231947096</v>
      </c>
      <c r="J161" s="13" t="n">
        <v>47.318599647956198</v>
      </c>
      <c r="K161" s="14" t="str">
        <f>=HYPERLINK("https://ucloud.univie.ac.at/index.php/f/1525440666","Open Cytogram")</f>
      </c>
      <c r="L161" s="9" t="s">
        <v>314</v>
      </c>
      <c r="M161" t="s">
        <v>14</v>
      </c>
      <c r="N161" t="s">
        <v>314</v>
      </c>
      <c r="O161" t="s">
        <v>185</v>
      </c>
    </row>
    <row r="162">
      <c r="A162" s="2" t="s">
        <v>314</v>
      </c>
      <c r="B162" s="3" t="n">
        <v>46188</v>
      </c>
      <c r="C162" s="3" t="n">
        <v>46168</v>
      </c>
      <c r="D162" s="4" t="n">
        <f t="shared" si="84"/>
        <v>20</v>
      </c>
      <c r="E162" s="5" t="n">
        <v>1764583.5955151899</v>
      </c>
      <c r="F162" s="6" t="n">
        <v>35.506596644037401</v>
      </c>
      <c r="G162" s="7" t="n">
        <v>1275058.05981851</v>
      </c>
      <c r="H162" s="8" t="n">
        <v>25.6564621493531</v>
      </c>
      <c r="I162" s="12" t="n">
        <v>1763628.7342622001</v>
      </c>
      <c r="J162" s="13" t="n">
        <v>35.487383117714899</v>
      </c>
      <c r="K162" s="14" t="str">
        <f>=HYPERLINK("https://ucloud.univie.ac.at/index.php/f/1525440666","Open Cytogram")</f>
      </c>
      <c r="L162" s="9" t="s">
        <v>314</v>
      </c>
      <c r="M162" s="10" t="s">
        <v>14</v>
      </c>
      <c r="N162" s="10" t="s">
        <v>314</v>
      </c>
      <c r="O162" s="10" t="s">
        <v>185</v>
      </c>
    </row>
    <row r="163">
      <c r="A163" s="2" t="s">
        <v>314</v>
      </c>
      <c r="B163" s="3" t="n">
        <v>46196</v>
      </c>
      <c r="C163" s="3" t="n">
        <v>46168</v>
      </c>
      <c r="D163" s="4" t="n">
        <f t="shared" si="84"/>
        <v>28</v>
      </c>
      <c r="E163" s="5" t="n">
        <v>737153.80540833203</v>
      </c>
      <c r="F163" s="6" t="n">
        <v>26.272619651615098</v>
      </c>
      <c r="G163" s="7" t="n">
        <v>265014.74111397099</v>
      </c>
      <c r="H163" s="8" t="n">
        <v>9.4452900388973493</v>
      </c>
      <c r="I163" s="12" t="n">
        <v>1757828.30520448</v>
      </c>
      <c r="J163" s="13" t="n">
        <v>62.6500930153898</v>
      </c>
      <c r="K163" s="14" t="str">
        <f>=HYPERLINK("https://ucloud.univie.ac.at/index.php/f/1547934963","Open Cytogram")</f>
      </c>
      <c r="L163" s="9" t="s">
        <v>314</v>
      </c>
      <c r="M163" t="s">
        <v>14</v>
      </c>
      <c r="N163" t="s">
        <v>314</v>
      </c>
      <c r="O163" t="s">
        <v>201</v>
      </c>
    </row>
    <row r="164">
      <c r="A164" s="2" t="s">
        <v>314</v>
      </c>
      <c r="B164" s="3" t="n">
        <v>46204</v>
      </c>
      <c r="C164" s="3" t="n">
        <v>46168</v>
      </c>
      <c r="D164" s="4" t="n">
        <f t="shared" si="84"/>
        <v>36</v>
      </c>
      <c r="E164" s="5" t="n">
        <v>1755714.94656991</v>
      </c>
      <c r="F164" s="6" t="n">
        <v>21.181952132531599</v>
      </c>
      <c r="G164" s="7" t="n">
        <v>2842350.3299329798</v>
      </c>
      <c r="H164" s="8" t="n">
        <v>34.291744653737403</v>
      </c>
      <c r="I164" s="12" t="n">
        <v>3655676.4491937901</v>
      </c>
      <c r="J164" s="13" t="n">
        <v>44.104177452112602</v>
      </c>
      <c r="K164" s="14" t="str">
        <f>=HYPERLINK("https://ucloud.univie.ac.at/index.php/f/1547934963","Open Cytogram")</f>
      </c>
      <c r="L164" s="9" t="s">
        <v>314</v>
      </c>
      <c r="M164" s="10" t="s">
        <v>14</v>
      </c>
      <c r="N164" s="10" t="s">
        <v>314</v>
      </c>
      <c r="O164" s="10" t="s">
        <v>201</v>
      </c>
    </row>
    <row r="165">
      <c r="A165" s="17" t="s">
        <v>314</v>
      </c>
      <c r="B165" s="18" t="n">
        <v>46213</v>
      </c>
      <c r="C165" s="18" t="n">
        <v>46168</v>
      </c>
      <c r="D165" s="19" t="n">
        <f t="shared" si="84"/>
        <v>45</v>
      </c>
      <c r="E165" s="20" t="n">
        <v>1881462.2382263399</v>
      </c>
      <c r="F165" s="21" t="n">
        <v>22.653670806476999</v>
      </c>
      <c r="G165" s="22" t="n">
        <v>2574769.9748662999</v>
      </c>
      <c r="H165" s="23" t="n">
        <v>31.0014148718755</v>
      </c>
      <c r="I165" s="27" t="n">
        <v>3479595.3260743902</v>
      </c>
      <c r="J165" s="28" t="n">
        <v>41.895928313158301</v>
      </c>
      <c r="K165" s="24" t="str">
        <f>=HYPERLINK("https://ucloud.univie.ac.at/index.php/f/1552579888","Open Cytogram")</f>
      </c>
      <c r="L165" s="15" t="s">
        <v>314</v>
      </c>
      <c r="M165" s="25" t="s">
        <v>14</v>
      </c>
      <c r="N165" s="25" t="s">
        <v>314</v>
      </c>
      <c r="O165" s="25" t="s">
        <v>218</v>
      </c>
    </row>
    <row r="166">
      <c r="A166" s="2" t="s">
        <v>252</v>
      </c>
      <c r="B166" s="3"/>
      <c r="C166" s="3" t="n">
        <v>46171</v>
      </c>
      <c r="D166" s="4" t="str">
        <f t="shared" si="84"/>
        <v/>
      </c>
      <c r="E166" s="5" t="n">
        <v>2062707.9254082299</v>
      </c>
      <c r="F166" s="6" t="n">
        <v>17.483607438460702</v>
      </c>
      <c r="G166" s="7" t="n">
        <v>7356759.0994731896</v>
      </c>
      <c r="H166" s="8" t="n">
        <v>62.356229173384897</v>
      </c>
      <c r="I166" s="12" t="n">
        <v>1523727.9879360499</v>
      </c>
      <c r="J166" s="13" t="n">
        <v>12.915188648822999</v>
      </c>
      <c r="K166" s="14" t="str">
        <f>=HYPERLINK("https://ucloud.univie.ac.at/index.php/f/1518571913","Open Cytogram")</f>
      </c>
      <c r="L166" s="9" t="s">
        <v>314</v>
      </c>
      <c r="M166" s="10" t="s">
        <v>14</v>
      </c>
      <c r="N166" s="10" t="s">
        <v>314</v>
      </c>
      <c r="O166" s="10" t="s">
        <v>183</v>
      </c>
    </row>
    <row r="167">
      <c r="A167" s="17" t="s">
        <v>314</v>
      </c>
      <c r="B167" s="18" t="n">
        <v>46189</v>
      </c>
      <c r="C167" s="18" t="n">
        <v>46171</v>
      </c>
      <c r="D167" s="19" t="n">
        <f t="shared" si="84"/>
        <v>18</v>
      </c>
      <c r="E167" s="20" t="n">
        <v>10975604.193482799</v>
      </c>
      <c r="F167" s="21" t="n">
        <v>43.616087394739402</v>
      </c>
      <c r="G167" s="22" t="n">
        <v>6815265.2204033798</v>
      </c>
      <c r="H167" s="23" t="n">
        <v>27.083265598075201</v>
      </c>
      <c r="I167" s="27" t="n">
        <v>6901990.0839523301</v>
      </c>
      <c r="J167" s="28" t="n">
        <v>27.427902591279999</v>
      </c>
      <c r="K167" s="24" t="str">
        <f>=HYPERLINK("https://ucloud.univie.ac.at/index.php/f/1525440666","Open Cytogram")</f>
      </c>
      <c r="L167" s="15" t="s">
        <v>314</v>
      </c>
      <c r="M167" s="25" t="s">
        <v>14</v>
      </c>
      <c r="N167" s="25" t="s">
        <v>314</v>
      </c>
      <c r="O167" s="25" t="s">
        <v>185</v>
      </c>
    </row>
    <row r="168">
      <c r="A168" s="2" t="s">
        <v>253</v>
      </c>
      <c r="B168" s="3"/>
      <c r="C168" s="3" t="n">
        <v>46171</v>
      </c>
      <c r="D168" s="4" t="str">
        <f t="shared" si="84"/>
        <v/>
      </c>
      <c r="E168" s="5" t="n">
        <v>2864202.7971315598</v>
      </c>
      <c r="F168" s="6" t="n">
        <v>22.251231527093601</v>
      </c>
      <c r="G168" s="7" t="n">
        <v>7767652.0400402201</v>
      </c>
      <c r="H168" s="8" t="n">
        <v>60.344827586206897</v>
      </c>
      <c r="I168" s="12" t="n">
        <v>1291649.56780097</v>
      </c>
      <c r="J168" s="13" t="n">
        <v>10.034482758620699</v>
      </c>
      <c r="K168" s="14" t="str">
        <f>=HYPERLINK("https://ucloud.univie.ac.at/index.php/f/1518571913","Open Cytogram")</f>
      </c>
      <c r="L168" s="9" t="s">
        <v>314</v>
      </c>
      <c r="M168" s="10" t="s">
        <v>14</v>
      </c>
      <c r="N168" s="10" t="s">
        <v>314</v>
      </c>
      <c r="O168" s="10" t="s">
        <v>183</v>
      </c>
    </row>
    <row r="169">
      <c r="A169" s="17" t="s">
        <v>314</v>
      </c>
      <c r="B169" s="18" t="n">
        <v>46189</v>
      </c>
      <c r="C169" s="18" t="n">
        <v>46171</v>
      </c>
      <c r="D169" s="19" t="n">
        <f t="shared" si="84"/>
        <v>18</v>
      </c>
      <c r="E169" s="20" t="n">
        <v>12652012.1690658</v>
      </c>
      <c r="F169" s="21" t="n">
        <v>31.583032085452299</v>
      </c>
      <c r="G169" s="22" t="n">
        <v>13758981.417950001</v>
      </c>
      <c r="H169" s="23" t="n">
        <v>34.346343157077797</v>
      </c>
      <c r="I169" s="27" t="n">
        <v>11742219.260891899</v>
      </c>
      <c r="J169" s="28" t="n">
        <v>29.311929416089701</v>
      </c>
      <c r="K169" s="24" t="str">
        <f>=HYPERLINK("https://ucloud.univie.ac.at/index.php/f/1525440666","Open Cytogram")</f>
      </c>
      <c r="L169" s="15" t="s">
        <v>314</v>
      </c>
      <c r="M169" s="25" t="s">
        <v>14</v>
      </c>
      <c r="N169" s="25" t="s">
        <v>314</v>
      </c>
      <c r="O169" s="25" t="s">
        <v>185</v>
      </c>
    </row>
    <row r="170">
      <c r="A170" s="2" t="s">
        <v>254</v>
      </c>
      <c r="B170" s="3" t="n">
        <v>46184</v>
      </c>
      <c r="C170" s="3" t="n">
        <v>46184</v>
      </c>
      <c r="D170" s="4" t="n">
        <f t="shared" si="84"/>
        <v>0</v>
      </c>
      <c r="E170" s="5" t="n">
        <v>966139.811349547</v>
      </c>
      <c r="F170" s="6" t="n">
        <v>54.345410091131299</v>
      </c>
      <c r="G170" s="7" t="n">
        <v>251710.044920107</v>
      </c>
      <c r="H170" s="8" t="n">
        <v>14.158701933763099</v>
      </c>
      <c r="I170" s="12" t="n">
        <v>465485.76595900499</v>
      </c>
      <c r="J170" s="13" t="n">
        <v>26.1835963547455</v>
      </c>
      <c r="K170" s="14" t="str">
        <f>=HYPERLINK("https://ucloud.univie.ac.at/index.php/f/1525440666","Open Cytogram")</f>
      </c>
      <c r="L170" s="9" t="s">
        <v>314</v>
      </c>
      <c r="M170" s="10" t="s">
        <v>14</v>
      </c>
      <c r="N170" s="10" t="s">
        <v>314</v>
      </c>
      <c r="O170" s="10" t="s">
        <v>185</v>
      </c>
    </row>
    <row r="171">
      <c r="A171" s="2" t="s">
        <v>314</v>
      </c>
      <c r="B171" s="3" t="n">
        <v>46191</v>
      </c>
      <c r="C171" s="3" t="n">
        <v>46184</v>
      </c>
      <c r="D171" s="4" t="n">
        <f t="shared" si="84"/>
        <v>7</v>
      </c>
      <c r="E171" s="5" t="n">
        <v>2238086.5603722902</v>
      </c>
      <c r="F171" s="6" t="n">
        <v>12.615663455117801</v>
      </c>
      <c r="G171" s="7" t="n">
        <v>14408792.814101901</v>
      </c>
      <c r="H171" s="8" t="n">
        <v>81.219593627778295</v>
      </c>
      <c r="I171" s="12" t="n">
        <v>810618.87517453905</v>
      </c>
      <c r="J171" s="13" t="n">
        <v>4.56930268053038</v>
      </c>
      <c r="K171" s="14" t="str">
        <f>=HYPERLINK("https://ucloud.univie.ac.at/index.php/f/1527061636","Open Cytogram")</f>
      </c>
      <c r="L171" s="9" t="s">
        <v>314</v>
      </c>
      <c r="M171" t="s">
        <v>14</v>
      </c>
      <c r="N171" t="s">
        <v>314</v>
      </c>
      <c r="O171" t="s">
        <v>255</v>
      </c>
    </row>
    <row r="172">
      <c r="A172" s="2" t="s">
        <v>314</v>
      </c>
      <c r="B172" s="3" t="n">
        <v>46196</v>
      </c>
      <c r="C172" s="3" t="n">
        <v>46184</v>
      </c>
      <c r="D172" s="4" t="n">
        <f t="shared" si="84"/>
        <v>12</v>
      </c>
      <c r="E172" s="5" t="n">
        <v>2826145.1742627299</v>
      </c>
      <c r="F172" s="6" t="n">
        <v>13.6088575608459</v>
      </c>
      <c r="G172" s="7" t="n">
        <v>14452490.7506702</v>
      </c>
      <c r="H172" s="8" t="n">
        <v>69.593695970208799</v>
      </c>
      <c r="I172" s="12" t="n">
        <v>2675619.97319035</v>
      </c>
      <c r="J172" s="13" t="n">
        <v>12.8840271312675</v>
      </c>
      <c r="K172" s="14" t="str">
        <f>=HYPERLINK("https://ucloud.univie.ac.at/index.php/f/1556102618","Open Cytogram")</f>
      </c>
      <c r="L172" s="9" t="s">
        <v>314</v>
      </c>
      <c r="M172" s="10" t="s">
        <v>14</v>
      </c>
      <c r="N172" s="10" t="s">
        <v>314</v>
      </c>
      <c r="O172" s="10" t="s">
        <v>202</v>
      </c>
    </row>
    <row r="173">
      <c r="A173" s="2" t="s">
        <v>314</v>
      </c>
      <c r="B173" s="3" t="n">
        <v>46197</v>
      </c>
      <c r="C173" s="3"/>
      <c r="D173" s="4" t="str">
        <f t="shared" si="84"/>
        <v/>
      </c>
      <c r="E173" s="5" t="n">
        <v>1712847.5167356201</v>
      </c>
      <c r="F173" s="6" t="n">
        <v>8.6579691633974996</v>
      </c>
      <c r="G173" s="7" t="n">
        <v>15587995.340660799</v>
      </c>
      <c r="H173" s="8" t="n">
        <v>78.792993340023699</v>
      </c>
      <c r="I173" s="12" t="n">
        <v>2247999.5596356299</v>
      </c>
      <c r="J173" s="13" t="n">
        <v>11.363014323510599</v>
      </c>
      <c r="K173" s="14" t="str">
        <f>=HYPERLINK("https://ucloud.univie.ac.at/index.php/f/1563063010","Open Cytogram")</f>
      </c>
      <c r="L173" s="9" t="s">
        <v>314</v>
      </c>
      <c r="M173" t="s">
        <v>14</v>
      </c>
      <c r="N173" t="s">
        <v>314</v>
      </c>
      <c r="O173" s="11" t="s">
        <v>204</v>
      </c>
    </row>
    <row r="174">
      <c r="A174" s="2" t="s">
        <v>314</v>
      </c>
      <c r="B174" s="3" t="n">
        <v>46199</v>
      </c>
      <c r="C174" s="3"/>
      <c r="D174" s="4" t="str">
        <f t="shared" si="84"/>
        <v/>
      </c>
      <c r="E174" s="5" t="n">
        <v>5801132.3268748699</v>
      </c>
      <c r="F174" s="6" t="n">
        <v>32.991785177987801</v>
      </c>
      <c r="G174" s="7" t="n">
        <v>8175946.6047307504</v>
      </c>
      <c r="H174" s="8" t="n">
        <v>46.4976592173836</v>
      </c>
      <c r="I174" s="12" t="n">
        <v>2815917.7800867902</v>
      </c>
      <c r="J174" s="13" t="n">
        <v>16.0144863527957</v>
      </c>
      <c r="K174" s="14" t="str">
        <f>=HYPERLINK("https://ucloud.univie.ac.at/index.php/f/1567856234","Open Cytogram")</f>
      </c>
      <c r="L174" s="9" t="s">
        <v>314</v>
      </c>
      <c r="M174" s="10" t="s">
        <v>104</v>
      </c>
      <c r="N174" s="10" t="s">
        <v>314</v>
      </c>
      <c r="O174" s="10" t="s">
        <v>206</v>
      </c>
    </row>
    <row r="175">
      <c r="A175" s="2" t="s">
        <v>314</v>
      </c>
      <c r="B175" s="3" t="n">
        <v>46203</v>
      </c>
      <c r="C175" s="3"/>
      <c r="D175" s="4" t="str">
        <f t="shared" si="84"/>
        <v/>
      </c>
      <c r="E175" s="5" t="n">
        <v>4306602.6115350304</v>
      </c>
      <c r="F175" s="6" t="n">
        <v>23.562314280720202</v>
      </c>
      <c r="G175" s="7" t="n">
        <v>11924624.8127259</v>
      </c>
      <c r="H175" s="8" t="n">
        <v>65.242090543611297</v>
      </c>
      <c r="I175" s="12" t="n">
        <v>1514339.49396707</v>
      </c>
      <c r="J175" s="13" t="n">
        <v>8.2852648138437406</v>
      </c>
      <c r="K175" s="14" t="str">
        <f>=HYPERLINK("https://ucloud.univie.ac.at/index.php/f/1563063010","Open Cytogram")</f>
      </c>
      <c r="L175" s="9" t="s">
        <v>314</v>
      </c>
      <c r="M175" s="10" t="s">
        <v>14</v>
      </c>
      <c r="N175" s="10" t="s">
        <v>314</v>
      </c>
      <c r="O175" s="10" t="s">
        <v>204</v>
      </c>
    </row>
    <row r="176">
      <c r="A176" s="2" t="s">
        <v>314</v>
      </c>
      <c r="B176" s="3" t="n">
        <v>46209</v>
      </c>
      <c r="C176" s="3"/>
      <c r="D176" s="4" t="str">
        <f t="shared" si="84"/>
        <v/>
      </c>
      <c r="E176" s="5" t="n">
        <v>3557452.5347585902</v>
      </c>
      <c r="F176" s="6" t="n">
        <v>19.540001982750098</v>
      </c>
      <c r="G176" s="7" t="n">
        <v>13521387.9574551</v>
      </c>
      <c r="H176" s="8" t="n">
        <v>74.268860910082296</v>
      </c>
      <c r="I176" s="12" t="n">
        <v>706617.28430136305</v>
      </c>
      <c r="J176" s="13" t="n">
        <v>3.8812332705462498</v>
      </c>
      <c r="K176" s="14" t="str">
        <f>=HYPERLINK("https://ucloud.univie.ac.at/index.php/f/1563063010","Open Cytogram")</f>
      </c>
      <c r="L176" s="9" t="s">
        <v>314</v>
      </c>
      <c r="M176" t="s">
        <v>14</v>
      </c>
      <c r="N176" t="s">
        <v>314</v>
      </c>
      <c r="O176" t="s">
        <v>204</v>
      </c>
    </row>
    <row r="177">
      <c r="A177" s="2" t="s">
        <v>314</v>
      </c>
      <c r="B177" s="3" t="n">
        <v>46216</v>
      </c>
      <c r="C177" s="3"/>
      <c r="D177" s="4" t="str">
        <f t="shared" si="84"/>
        <v/>
      </c>
      <c r="E177" s="5" t="n">
        <v>8013531.6897918899</v>
      </c>
      <c r="F177" s="6" t="n">
        <v>22.595535040610699</v>
      </c>
      <c r="G177" s="7" t="n">
        <v>20728776.040634301</v>
      </c>
      <c r="H177" s="8" t="n">
        <v>58.448360037282001</v>
      </c>
      <c r="I177" s="12" t="n">
        <v>5849201.28840438</v>
      </c>
      <c r="J177" s="13" t="n">
        <v>16.492832097998299</v>
      </c>
      <c r="K177" s="14" t="str">
        <f>=HYPERLINK("https://ucloud.univie.ac.at/index.php/f/1563063010","Open Cytogram")</f>
      </c>
      <c r="L177" s="9" t="s">
        <v>314</v>
      </c>
      <c r="M177" s="10" t="s">
        <v>14</v>
      </c>
      <c r="N177" s="10" t="s">
        <v>314</v>
      </c>
      <c r="O177" s="10" t="s">
        <v>204</v>
      </c>
    </row>
    <row r="178" ht="15.75" customHeight="1">
      <c r="A178" s="17" t="s">
        <v>314</v>
      </c>
      <c r="B178" s="18" t="n">
        <v>46206</v>
      </c>
      <c r="C178" s="18"/>
      <c r="D178" s="19" t="str">
        <f t="shared" si="84"/>
        <v/>
      </c>
      <c r="E178" s="20" t="n">
        <v>9699617.5050424598</v>
      </c>
      <c r="F178" s="21" t="n">
        <v>53.780571822252803</v>
      </c>
      <c r="G178" s="22" t="n">
        <v>3264787.18904712</v>
      </c>
      <c r="H178" s="23" t="n">
        <v>18.101963486048898</v>
      </c>
      <c r="I178" s="27" t="n">
        <v>4445981.6025915202</v>
      </c>
      <c r="J178" s="28" t="n">
        <v>24.651222872890099</v>
      </c>
      <c r="K178" s="24" t="str">
        <f>=HYPERLINK("https://ucloud.univie.ac.at/index.php/f/1567856234","Open Cytogram")</f>
      </c>
      <c r="L178" s="15" t="s">
        <v>314</v>
      </c>
      <c r="M178" s="25" t="s">
        <v>14</v>
      </c>
      <c r="N178" s="25" t="s">
        <v>314</v>
      </c>
      <c r="O178" s="25" t="s">
        <v>206</v>
      </c>
    </row>
    <row r="179" ht="16.5" customHeight="1">
      <c r="A179" s="17" t="s">
        <v>256</v>
      </c>
      <c r="B179" s="18" t="n">
        <v>46195</v>
      </c>
      <c r="C179" s="18" t="n">
        <v>46184</v>
      </c>
      <c r="D179" s="19" t="n">
        <f t="shared" si="84"/>
        <v>11</v>
      </c>
      <c r="E179" s="20" t="n">
        <v>3178407.80823883</v>
      </c>
      <c r="F179" s="21" t="n">
        <v>16.9341563786008</v>
      </c>
      <c r="G179" s="22" t="n">
        <v>12491567.5039472</v>
      </c>
      <c r="H179" s="23" t="n">
        <v>66.553497942386798</v>
      </c>
      <c r="I179" s="27" t="n">
        <v>2555342.04105066</v>
      </c>
      <c r="J179" s="28" t="n">
        <v>13.614540466392301</v>
      </c>
      <c r="K179" s="24" t="str">
        <f>=HYPERLINK("https://ucloud.univie.ac.at/index.php/f/1552579888","Open Cytogram")</f>
      </c>
      <c r="L179" s="15" t="s">
        <v>314</v>
      </c>
      <c r="M179" s="25" t="s">
        <v>14</v>
      </c>
      <c r="N179" s="25" t="s">
        <v>314</v>
      </c>
      <c r="O179" s="25" t="s">
        <v>218</v>
      </c>
    </row>
    <row r="180">
      <c r="A180" s="17" t="s">
        <v>257</v>
      </c>
      <c r="B180" s="18" t="n">
        <v>46195</v>
      </c>
      <c r="C180" s="18"/>
      <c r="D180" s="19" t="str">
        <f t="shared" si="84"/>
        <v/>
      </c>
      <c r="E180" s="20" t="n">
        <v>10272309.2493298</v>
      </c>
      <c r="F180" s="21" t="n">
        <v>38.922610015174499</v>
      </c>
      <c r="G180" s="22" t="n">
        <v>12492210.723860599</v>
      </c>
      <c r="H180" s="23" t="n">
        <v>47.333996127884497</v>
      </c>
      <c r="I180" s="27" t="n">
        <v>2790240.08042895</v>
      </c>
      <c r="J180" s="28" t="n">
        <v>10.5724451886348</v>
      </c>
      <c r="K180" s="24" t="str">
        <f>=HYPERLINK("https://ucloud.univie.ac.at/index.php/f/1556102618","Open Cytogram")</f>
      </c>
      <c r="L180" s="15" t="s">
        <v>314</v>
      </c>
      <c r="M180" s="16" t="s">
        <v>14</v>
      </c>
      <c r="N180" s="16" t="s">
        <v>314</v>
      </c>
      <c r="O180" s="16" t="s">
        <v>202</v>
      </c>
    </row>
    <row r="181">
      <c r="A181" s="17" t="s">
        <v>258</v>
      </c>
      <c r="B181" s="18" t="n">
        <v>46195</v>
      </c>
      <c r="C181" s="18" t="n">
        <v>46184</v>
      </c>
      <c r="D181" s="19" t="n">
        <f t="shared" si="84"/>
        <v>11</v>
      </c>
      <c r="E181" s="20" t="n">
        <v>2290152.8922061101</v>
      </c>
      <c r="F181" s="21" t="n">
        <v>12.562672127674601</v>
      </c>
      <c r="G181" s="22" t="n">
        <v>13281985.6466198</v>
      </c>
      <c r="H181" s="23" t="n">
        <v>72.858555186780606</v>
      </c>
      <c r="I181" s="27" t="n">
        <v>2369323.4390699002</v>
      </c>
      <c r="J181" s="28" t="n">
        <v>12.996963491278899</v>
      </c>
      <c r="K181" s="24" t="str">
        <f>=HYPERLINK("https://ucloud.univie.ac.at/index.php/f/1552579888","Open Cytogram")</f>
      </c>
      <c r="L181" s="15" t="s">
        <v>314</v>
      </c>
      <c r="M181" s="25" t="s">
        <v>14</v>
      </c>
      <c r="N181" s="25" t="s">
        <v>314</v>
      </c>
      <c r="O181" s="25" t="s">
        <v>218</v>
      </c>
    </row>
    <row r="182">
      <c r="A182" s="2" t="s">
        <v>259</v>
      </c>
      <c r="B182" s="3" t="n">
        <v>46184</v>
      </c>
      <c r="C182" s="3" t="n">
        <v>46184</v>
      </c>
      <c r="D182" s="4" t="n">
        <f t="shared" si="84"/>
        <v>0</v>
      </c>
      <c r="E182" s="5" t="n">
        <v>2129327.3606376001</v>
      </c>
      <c r="F182" s="6" t="n">
        <v>56.508668903803098</v>
      </c>
      <c r="G182" s="7" t="n">
        <v>484189.49509487901</v>
      </c>
      <c r="H182" s="8" t="n">
        <v>12.8495525727069</v>
      </c>
      <c r="I182" s="12" t="n">
        <v>1066112.5607448199</v>
      </c>
      <c r="J182" s="13" t="n">
        <v>28.292785234899299</v>
      </c>
      <c r="K182" s="14" t="str">
        <f>=HYPERLINK("https://ucloud.univie.ac.at/index.php/f/1525440666","Open Cytogram")</f>
      </c>
      <c r="L182" s="9" t="s">
        <v>314</v>
      </c>
      <c r="M182" s="10" t="s">
        <v>14</v>
      </c>
      <c r="N182" s="10" t="s">
        <v>314</v>
      </c>
      <c r="O182" s="10" t="s">
        <v>185</v>
      </c>
    </row>
    <row r="183">
      <c r="A183" s="2" t="s">
        <v>314</v>
      </c>
      <c r="B183" s="3" t="n">
        <v>46191</v>
      </c>
      <c r="C183" s="3" t="n">
        <v>46184</v>
      </c>
      <c r="D183" s="4" t="n">
        <f t="shared" si="84"/>
        <v>7</v>
      </c>
      <c r="E183" s="5" t="n">
        <v>2862973.8665480702</v>
      </c>
      <c r="F183" s="6" t="n">
        <v>15.2241895205741</v>
      </c>
      <c r="G183" s="7" t="n">
        <v>14799294.495618699</v>
      </c>
      <c r="H183" s="8" t="n">
        <v>78.696933564309703</v>
      </c>
      <c r="I183" s="12" t="n">
        <v>703579.95272195095</v>
      </c>
      <c r="J183" s="13" t="n">
        <v>3.74136650993273</v>
      </c>
      <c r="K183" s="14" t="str">
        <f>=HYPERLINK("https://ucloud.univie.ac.at/index.php/f/1527061636","Open Cytogram")</f>
      </c>
      <c r="L183" s="9" t="s">
        <v>314</v>
      </c>
      <c r="M183" t="s">
        <v>14</v>
      </c>
      <c r="N183" t="s">
        <v>314</v>
      </c>
      <c r="O183" t="s">
        <v>255</v>
      </c>
    </row>
    <row r="184">
      <c r="A184" s="2" t="s">
        <v>314</v>
      </c>
      <c r="B184" s="3" t="n">
        <v>46196</v>
      </c>
      <c r="C184" s="3" t="n">
        <v>46184</v>
      </c>
      <c r="D184" s="4" t="n">
        <f t="shared" si="84"/>
        <v>12</v>
      </c>
      <c r="E184" s="5" t="n">
        <v>3879821.5817694399</v>
      </c>
      <c r="F184" s="6" t="n">
        <v>13.997110402550801</v>
      </c>
      <c r="G184" s="7" t="n">
        <v>20073709.383377999</v>
      </c>
      <c r="H184" s="8" t="n">
        <v>72.419290554005599</v>
      </c>
      <c r="I184" s="12" t="n">
        <v>2683905.7640750702</v>
      </c>
      <c r="J184" s="13" t="n">
        <v>9.6826424870466301</v>
      </c>
      <c r="K184" s="14" t="str">
        <f>=HYPERLINK("https://ucloud.univie.ac.at/index.php/f/1556102618","Open Cytogram")</f>
      </c>
      <c r="L184" s="9" t="s">
        <v>314</v>
      </c>
      <c r="M184" s="10" t="s">
        <v>14</v>
      </c>
      <c r="N184" s="10" t="s">
        <v>314</v>
      </c>
      <c r="O184" s="10" t="s">
        <v>202</v>
      </c>
    </row>
    <row r="185">
      <c r="A185" s="2" t="s">
        <v>314</v>
      </c>
      <c r="B185" s="3" t="n">
        <v>46197</v>
      </c>
      <c r="C185" s="3"/>
      <c r="D185" s="4" t="str">
        <f t="shared" si="84"/>
        <v/>
      </c>
      <c r="E185" s="5" t="n">
        <v>2480831.30848588</v>
      </c>
      <c r="F185" s="6" t="n">
        <v>10.8134686492015</v>
      </c>
      <c r="G185" s="7" t="n">
        <v>17752969.625512701</v>
      </c>
      <c r="H185" s="8" t="n">
        <v>77.381795295413397</v>
      </c>
      <c r="I185" s="12" t="n">
        <v>2315683.2075572098</v>
      </c>
      <c r="J185" s="13" t="n">
        <v>10.093619699472899</v>
      </c>
      <c r="K185" s="14" t="str">
        <f>=HYPERLINK("https://ucloud.univie.ac.at/index.php/f/1563063010","Open Cytogram")</f>
      </c>
      <c r="L185" s="9" t="s">
        <v>314</v>
      </c>
      <c r="M185" t="s">
        <v>14</v>
      </c>
      <c r="N185" t="s">
        <v>314</v>
      </c>
      <c r="O185" s="11" t="s">
        <v>204</v>
      </c>
    </row>
    <row r="186">
      <c r="A186" s="2" t="s">
        <v>314</v>
      </c>
      <c r="B186" s="3" t="n">
        <v>46199</v>
      </c>
      <c r="C186" s="3"/>
      <c r="D186" s="4" t="str">
        <f t="shared" si="84"/>
        <v/>
      </c>
      <c r="E186" s="5" t="n">
        <v>7735619.6931727799</v>
      </c>
      <c r="F186" s="6" t="n">
        <v>38.084496272223298</v>
      </c>
      <c r="G186" s="7" t="n">
        <v>8661315.7753193397</v>
      </c>
      <c r="H186" s="8" t="n">
        <v>42.641942267252901</v>
      </c>
      <c r="I186" s="12" t="n">
        <v>3000746.36024692</v>
      </c>
      <c r="J186" s="13" t="n">
        <v>14.7734658765054</v>
      </c>
      <c r="K186" s="14" t="str">
        <f>=HYPERLINK("https://ucloud.univie.ac.at/index.php/f/1567856234","Open Cytogram")</f>
      </c>
      <c r="L186" s="9" t="s">
        <v>314</v>
      </c>
      <c r="M186" s="10" t="s">
        <v>104</v>
      </c>
      <c r="N186" s="10" t="s">
        <v>314</v>
      </c>
      <c r="O186" s="10" t="s">
        <v>206</v>
      </c>
    </row>
    <row r="187">
      <c r="A187" s="2" t="s">
        <v>314</v>
      </c>
      <c r="B187" s="3" t="n">
        <v>46203</v>
      </c>
      <c r="C187" s="3"/>
      <c r="D187" s="4" t="str">
        <f t="shared" si="84"/>
        <v/>
      </c>
      <c r="E187" s="5" t="n">
        <v>3440558.8241495602</v>
      </c>
      <c r="F187" s="6" t="n">
        <v>21.499121118272399</v>
      </c>
      <c r="G187" s="7" t="n">
        <v>10633784.7870396</v>
      </c>
      <c r="H187" s="8" t="n">
        <v>66.447643759939695</v>
      </c>
      <c r="I187" s="12" t="n">
        <v>1534420.9200168699</v>
      </c>
      <c r="J187" s="13" t="n">
        <v>9.5881811333389102</v>
      </c>
      <c r="K187" s="14" t="str">
        <f>=HYPERLINK("https://ucloud.univie.ac.at/index.php/f/1563063010","Open Cytogram")</f>
      </c>
      <c r="L187" s="9" t="s">
        <v>314</v>
      </c>
      <c r="M187" s="10" t="s">
        <v>14</v>
      </c>
      <c r="N187" s="10" t="s">
        <v>314</v>
      </c>
      <c r="O187" s="10" t="s">
        <v>204</v>
      </c>
    </row>
    <row r="188">
      <c r="A188" s="2" t="s">
        <v>314</v>
      </c>
      <c r="B188" s="3" t="n">
        <v>46209</v>
      </c>
      <c r="C188" s="3"/>
      <c r="D188" s="4" t="str">
        <f t="shared" si="84"/>
        <v/>
      </c>
      <c r="E188" s="5" t="n">
        <v>5524790.5676793698</v>
      </c>
      <c r="F188" s="6" t="n">
        <v>26.1948568739036</v>
      </c>
      <c r="G188" s="7" t="n">
        <v>13754219.706305301</v>
      </c>
      <c r="H188" s="8" t="n">
        <v>65.213298532369194</v>
      </c>
      <c r="I188" s="12" t="n">
        <v>1344648.4720421799</v>
      </c>
      <c r="J188" s="13" t="n">
        <v>6.3754225321980202</v>
      </c>
      <c r="K188" s="14" t="str">
        <f>=HYPERLINK("https://ucloud.univie.ac.at/index.php/f/1563063010","Open Cytogram")</f>
      </c>
      <c r="L188" s="9" t="s">
        <v>314</v>
      </c>
      <c r="M188" t="s">
        <v>14</v>
      </c>
      <c r="N188" t="s">
        <v>314</v>
      </c>
      <c r="O188" t="s">
        <v>204</v>
      </c>
    </row>
    <row r="189">
      <c r="A189" s="2" t="s">
        <v>314</v>
      </c>
      <c r="B189" s="3" t="n">
        <v>46216</v>
      </c>
      <c r="C189" s="3"/>
      <c r="D189" s="4" t="str">
        <f t="shared" si="84"/>
        <v/>
      </c>
      <c r="E189" s="5" t="n">
        <v>7706590.2874133</v>
      </c>
      <c r="F189" s="6" t="n">
        <v>20.6914039388048</v>
      </c>
      <c r="G189" s="7" t="n">
        <v>22792366.699702699</v>
      </c>
      <c r="H189" s="8" t="n">
        <v>61.195165243850902</v>
      </c>
      <c r="I189" s="12" t="n">
        <v>5696517.6164519498</v>
      </c>
      <c r="J189" s="13" t="n">
        <v>15.2945651255177</v>
      </c>
      <c r="K189" s="14" t="str">
        <f>=HYPERLINK("https://ucloud.univie.ac.at/index.php/f/1563063010","Open Cytogram")</f>
      </c>
      <c r="L189" s="9" t="s">
        <v>314</v>
      </c>
      <c r="M189" s="10" t="s">
        <v>14</v>
      </c>
      <c r="N189" s="10" t="s">
        <v>314</v>
      </c>
      <c r="O189" s="10" t="s">
        <v>204</v>
      </c>
    </row>
    <row r="190" ht="15.75" customHeight="1">
      <c r="A190" s="17" t="s">
        <v>314</v>
      </c>
      <c r="B190" s="18" t="n">
        <v>46206</v>
      </c>
      <c r="C190" s="18"/>
      <c r="D190" s="19" t="str">
        <f t="shared" si="84"/>
        <v/>
      </c>
      <c r="E190" s="20" t="n">
        <v>6791285.4348756103</v>
      </c>
      <c r="F190" s="21" t="n">
        <v>50.695652173912997</v>
      </c>
      <c r="G190" s="22" t="n">
        <v>2569738.5367642501</v>
      </c>
      <c r="H190" s="23" t="n">
        <v>19.182608695652199</v>
      </c>
      <c r="I190" s="27" t="n">
        <v>3538147.10592261</v>
      </c>
      <c r="J190" s="28" t="n">
        <v>26.411594202898598</v>
      </c>
      <c r="K190" s="24" t="str">
        <f>=HYPERLINK("https://ucloud.univie.ac.at/index.php/f/1567856234","Open Cytogram")</f>
      </c>
      <c r="L190" s="15" t="s">
        <v>314</v>
      </c>
      <c r="M190" s="25" t="s">
        <v>14</v>
      </c>
      <c r="N190" s="25" t="s">
        <v>314</v>
      </c>
      <c r="O190" s="25" t="s">
        <v>206</v>
      </c>
    </row>
    <row r="191" ht="16.5" customHeight="1">
      <c r="A191" s="17" t="s">
        <v>260</v>
      </c>
      <c r="B191" s="18" t="n">
        <v>46195</v>
      </c>
      <c r="C191" s="18" t="n">
        <v>46184</v>
      </c>
      <c r="D191" s="19" t="n">
        <f t="shared" si="84"/>
        <v>11</v>
      </c>
      <c r="E191" s="20" t="n">
        <v>3309071.3937132098</v>
      </c>
      <c r="F191" s="21" t="n">
        <v>15.3627779105905</v>
      </c>
      <c r="G191" s="22" t="n">
        <v>15554115.975312199</v>
      </c>
      <c r="H191" s="23" t="n">
        <v>72.211929237389398</v>
      </c>
      <c r="I191" s="27" t="n">
        <v>2163994.9476101599</v>
      </c>
      <c r="J191" s="28" t="n">
        <v>10.046617260339501</v>
      </c>
      <c r="K191" s="24" t="str">
        <f>=HYPERLINK("https://ucloud.univie.ac.at/index.php/f/1552579888","Open Cytogram")</f>
      </c>
      <c r="L191" s="15" t="s">
        <v>314</v>
      </c>
      <c r="M191" s="25" t="s">
        <v>14</v>
      </c>
      <c r="N191" s="25" t="s">
        <v>314</v>
      </c>
      <c r="O191" s="25" t="s">
        <v>218</v>
      </c>
    </row>
    <row r="192">
      <c r="A192" s="17" t="s">
        <v>261</v>
      </c>
      <c r="B192" s="18" t="n">
        <v>46195</v>
      </c>
      <c r="C192" s="18"/>
      <c r="D192" s="19" t="str">
        <f t="shared" si="84"/>
        <v/>
      </c>
      <c r="E192" s="20" t="n">
        <v>8347934.3163538901</v>
      </c>
      <c r="F192" s="21" t="n">
        <v>33.720087019579402</v>
      </c>
      <c r="G192" s="22" t="n">
        <v>13426433.6461126</v>
      </c>
      <c r="H192" s="23" t="n">
        <v>54.233837228761097</v>
      </c>
      <c r="I192" s="27" t="n">
        <v>2277211.5281501301</v>
      </c>
      <c r="J192" s="28" t="n">
        <v>9.1984157974005694</v>
      </c>
      <c r="K192" s="24" t="str">
        <f>=HYPERLINK("https://ucloud.univie.ac.at/index.php/f/1556102618","Open Cytogram")</f>
      </c>
      <c r="L192" s="15" t="s">
        <v>314</v>
      </c>
      <c r="M192" s="16" t="s">
        <v>14</v>
      </c>
      <c r="N192" s="16" t="s">
        <v>314</v>
      </c>
      <c r="O192" s="16" t="s">
        <v>202</v>
      </c>
    </row>
    <row r="193">
      <c r="A193" s="17" t="s">
        <v>262</v>
      </c>
      <c r="B193" s="18" t="n">
        <v>46195</v>
      </c>
      <c r="C193" s="18" t="n">
        <v>46184</v>
      </c>
      <c r="D193" s="19" t="n">
        <f t="shared" si="84"/>
        <v>11</v>
      </c>
      <c r="E193" s="20" t="n">
        <v>2452988.45651956</v>
      </c>
      <c r="F193" s="21" t="n">
        <v>12.7243858333701</v>
      </c>
      <c r="G193" s="22" t="n">
        <v>14342967.8589353</v>
      </c>
      <c r="H193" s="23" t="n">
        <v>74.401270233317206</v>
      </c>
      <c r="I193" s="27" t="n">
        <v>2078875.83230167</v>
      </c>
      <c r="J193" s="28" t="n">
        <v>10.783751598818</v>
      </c>
      <c r="K193" s="24" t="str">
        <f>=HYPERLINK("https://ucloud.univie.ac.at/index.php/f/1552579888","Open Cytogram")</f>
      </c>
      <c r="L193" s="15" t="s">
        <v>314</v>
      </c>
      <c r="M193" s="25" t="s">
        <v>14</v>
      </c>
      <c r="N193" s="25" t="s">
        <v>314</v>
      </c>
      <c r="O193" s="25" t="s">
        <v>218</v>
      </c>
    </row>
    <row r="194">
      <c r="A194" s="2" t="s">
        <v>263</v>
      </c>
      <c r="B194" s="3" t="n">
        <v>46184</v>
      </c>
      <c r="C194" s="3" t="n">
        <v>46184</v>
      </c>
      <c r="D194" s="4" t="n">
        <f t="shared" ref="D194:D257" si="98">IF(OR(C194="",B194=""),"",B194-C194)</f>
        <v>0</v>
      </c>
      <c r="E194" s="5" t="n">
        <v>1932016.18989436</v>
      </c>
      <c r="F194" s="6" t="n">
        <v>54.835694792328702</v>
      </c>
      <c r="G194" s="7" t="n">
        <v>439537.634693039</v>
      </c>
      <c r="H194" s="8" t="n">
        <v>12.4752327189801</v>
      </c>
      <c r="I194" s="12" t="n">
        <v>1070459.2020228701</v>
      </c>
      <c r="J194" s="13" t="n">
        <v>30.382444203521601</v>
      </c>
      <c r="K194" s="14" t="str">
        <f>=HYPERLINK("https://ucloud.univie.ac.at/index.php/f/1525440666","Open Cytogram")</f>
      </c>
      <c r="L194" s="9" t="s">
        <v>314</v>
      </c>
      <c r="M194" s="10" t="s">
        <v>14</v>
      </c>
      <c r="N194" s="10" t="s">
        <v>314</v>
      </c>
      <c r="O194" s="10" t="s">
        <v>185</v>
      </c>
    </row>
    <row r="195">
      <c r="A195" s="2" t="s">
        <v>314</v>
      </c>
      <c r="B195" s="3" t="n">
        <v>46191</v>
      </c>
      <c r="C195" s="3" t="n">
        <v>46184</v>
      </c>
      <c r="D195" s="4" t="n">
        <f t="shared" si="98"/>
        <v>7</v>
      </c>
      <c r="E195" s="5" t="n">
        <v>921853.96696127404</v>
      </c>
      <c r="F195" s="6" t="n">
        <v>17.6332622601279</v>
      </c>
      <c r="G195" s="7" t="n">
        <v>3312134.72853398</v>
      </c>
      <c r="H195" s="8" t="n">
        <v>63.354655294953801</v>
      </c>
      <c r="I195" s="12" t="n">
        <v>828219.46487572801</v>
      </c>
      <c r="J195" s="13" t="n">
        <v>15.842217484008501</v>
      </c>
      <c r="K195" s="14" t="str">
        <f>=HYPERLINK("https://ucloud.univie.ac.at/index.php/f/1527061636","Open Cytogram")</f>
      </c>
      <c r="L195" s="9" t="s">
        <v>314</v>
      </c>
      <c r="M195" t="s">
        <v>14</v>
      </c>
      <c r="N195" t="s">
        <v>314</v>
      </c>
      <c r="O195" t="s">
        <v>255</v>
      </c>
    </row>
    <row r="196">
      <c r="A196" s="2" t="s">
        <v>314</v>
      </c>
      <c r="B196" s="3" t="n">
        <v>46196</v>
      </c>
      <c r="C196" s="3" t="n">
        <v>46184</v>
      </c>
      <c r="D196" s="4" t="n">
        <f t="shared" si="98"/>
        <v>12</v>
      </c>
      <c r="E196" s="5" t="n">
        <v>2029328.2841823101</v>
      </c>
      <c r="F196" s="6" t="n">
        <v>16.884012179008401</v>
      </c>
      <c r="G196" s="7" t="n">
        <v>8455649.5978552308</v>
      </c>
      <c r="H196" s="8" t="n">
        <v>70.351008215085898</v>
      </c>
      <c r="I196" s="12" t="n">
        <v>1173820.3753351199</v>
      </c>
      <c r="J196" s="13" t="n">
        <v>9.7661860171195496</v>
      </c>
      <c r="K196" s="14" t="str">
        <f>=HYPERLINK("https://ucloud.univie.ac.at/index.php/f/1556102618","Open Cytogram")</f>
      </c>
      <c r="L196" s="9" t="s">
        <v>314</v>
      </c>
      <c r="M196" s="10" t="s">
        <v>14</v>
      </c>
      <c r="N196" s="10" t="s">
        <v>314</v>
      </c>
      <c r="O196" s="10" t="s">
        <v>202</v>
      </c>
    </row>
    <row r="197">
      <c r="A197" s="2" t="s">
        <v>314</v>
      </c>
      <c r="B197" s="3" t="n">
        <v>46197</v>
      </c>
      <c r="C197" s="3"/>
      <c r="D197" s="4" t="str">
        <f t="shared" si="98"/>
        <v/>
      </c>
      <c r="E197" s="5" t="n">
        <v>1267037.8890921001</v>
      </c>
      <c r="F197" s="6" t="n">
        <v>6.4655767902371597</v>
      </c>
      <c r="G197" s="7" t="n">
        <v>16383955.0402187</v>
      </c>
      <c r="H197" s="8" t="n">
        <v>83.605802440709198</v>
      </c>
      <c r="I197" s="12" t="n">
        <v>1723676.90040307</v>
      </c>
      <c r="J197" s="13" t="n">
        <v>8.7957632972599598</v>
      </c>
      <c r="K197" s="14" t="str">
        <f>=HYPERLINK("https://ucloud.univie.ac.at/index.php/f/1563063010","Open Cytogram")</f>
      </c>
      <c r="L197" s="9" t="s">
        <v>314</v>
      </c>
      <c r="M197" t="s">
        <v>14</v>
      </c>
      <c r="N197" t="s">
        <v>314</v>
      </c>
      <c r="O197" s="11" t="s">
        <v>204</v>
      </c>
    </row>
    <row r="198">
      <c r="A198" s="2" t="s">
        <v>314</v>
      </c>
      <c r="B198" s="3" t="n">
        <v>46199</v>
      </c>
      <c r="C198" s="3"/>
      <c r="D198" s="4" t="str">
        <f t="shared" si="98"/>
        <v/>
      </c>
      <c r="E198" s="5" t="n">
        <v>2419414.8988311398</v>
      </c>
      <c r="F198" s="6" t="n">
        <v>40.716049382716001</v>
      </c>
      <c r="G198" s="7" t="n">
        <v>1897580.3128087299</v>
      </c>
      <c r="H198" s="8" t="n">
        <v>31.9341563786008</v>
      </c>
      <c r="I198" s="12" t="n">
        <v>1299940.3276921699</v>
      </c>
      <c r="J198" s="13" t="n">
        <v>21.876543209876498</v>
      </c>
      <c r="K198" s="14" t="str">
        <f>=HYPERLINK("https://ucloud.univie.ac.at/index.php/f/1567856234","Open Cytogram")</f>
      </c>
      <c r="L198" s="9" t="s">
        <v>314</v>
      </c>
      <c r="M198" s="10" t="s">
        <v>104</v>
      </c>
      <c r="N198" s="10" t="s">
        <v>314</v>
      </c>
      <c r="O198" s="10" t="s">
        <v>206</v>
      </c>
    </row>
    <row r="199">
      <c r="A199" s="2" t="s">
        <v>314</v>
      </c>
      <c r="B199" s="3" t="n">
        <v>46203</v>
      </c>
      <c r="C199" s="3"/>
      <c r="D199" s="4" t="str">
        <f t="shared" si="98"/>
        <v/>
      </c>
      <c r="E199" s="5" t="n">
        <v>5068076.4302783199</v>
      </c>
      <c r="F199" s="6" t="n">
        <v>20.950192419502201</v>
      </c>
      <c r="G199" s="7" t="n">
        <v>17394345.575625502</v>
      </c>
      <c r="H199" s="8" t="n">
        <v>71.903984052714605</v>
      </c>
      <c r="I199" s="12" t="n">
        <v>1290628.1592634199</v>
      </c>
      <c r="J199" s="13" t="n">
        <v>5.3351421689415499</v>
      </c>
      <c r="K199" s="14" t="str">
        <f>=HYPERLINK("https://ucloud.univie.ac.at/index.php/f/1563063010","Open Cytogram")</f>
      </c>
      <c r="L199" s="9" t="s">
        <v>314</v>
      </c>
      <c r="M199" s="10" t="s">
        <v>14</v>
      </c>
      <c r="N199" s="10" t="s">
        <v>314</v>
      </c>
      <c r="O199" s="10" t="s">
        <v>204</v>
      </c>
    </row>
    <row r="200">
      <c r="A200" s="2" t="s">
        <v>314</v>
      </c>
      <c r="B200" s="3" t="n">
        <v>46209</v>
      </c>
      <c r="C200" s="3"/>
      <c r="D200" s="4" t="str">
        <f t="shared" si="98"/>
        <v/>
      </c>
      <c r="E200" s="5" t="n">
        <v>4618732.1341690598</v>
      </c>
      <c r="F200" s="6" t="n">
        <v>24.337819202054298</v>
      </c>
      <c r="G200" s="7" t="n">
        <v>12921259.6125503</v>
      </c>
      <c r="H200" s="8" t="n">
        <v>68.086927576204303</v>
      </c>
      <c r="I200" s="12" t="n">
        <v>1000815.54060053</v>
      </c>
      <c r="J200" s="13" t="n">
        <v>5.2736696942317796</v>
      </c>
      <c r="K200" s="14" t="str">
        <f>=HYPERLINK("https://ucloud.univie.ac.at/index.php/f/1563063010","Open Cytogram")</f>
      </c>
      <c r="L200" s="9" t="s">
        <v>314</v>
      </c>
      <c r="M200" t="s">
        <v>14</v>
      </c>
      <c r="N200" t="s">
        <v>314</v>
      </c>
      <c r="O200" t="s">
        <v>204</v>
      </c>
    </row>
    <row r="201">
      <c r="A201" s="2" t="s">
        <v>314</v>
      </c>
      <c r="B201" s="3" t="n">
        <v>46216</v>
      </c>
      <c r="C201" s="3"/>
      <c r="D201" s="4" t="str">
        <f t="shared" si="98"/>
        <v/>
      </c>
      <c r="E201" s="5" t="n">
        <v>6308826.3627354</v>
      </c>
      <c r="F201" s="6" t="n">
        <v>19.882924893342601</v>
      </c>
      <c r="G201" s="7" t="n">
        <v>18932775.322101101</v>
      </c>
      <c r="H201" s="8" t="n">
        <v>59.668617918444298</v>
      </c>
      <c r="I201" s="12" t="n">
        <v>5315595.4658077396</v>
      </c>
      <c r="J201" s="13" t="n">
        <v>16.752654033138199</v>
      </c>
      <c r="K201" s="14" t="str">
        <f>=HYPERLINK("https://ucloud.univie.ac.at/index.php/f/1563063010","Open Cytogram")</f>
      </c>
      <c r="L201" s="9" t="s">
        <v>314</v>
      </c>
      <c r="M201" s="10" t="s">
        <v>14</v>
      </c>
      <c r="N201" s="10" t="s">
        <v>314</v>
      </c>
      <c r="O201" s="10" t="s">
        <v>204</v>
      </c>
    </row>
    <row r="202" ht="15.75" customHeight="1">
      <c r="A202" s="17" t="s">
        <v>314</v>
      </c>
      <c r="B202" s="18" t="n">
        <v>46206</v>
      </c>
      <c r="C202" s="18"/>
      <c r="D202" s="19" t="str">
        <f t="shared" si="98"/>
        <v/>
      </c>
      <c r="E202" s="20" t="n">
        <v>6329393.3397364197</v>
      </c>
      <c r="F202" s="21" t="n">
        <v>48.391685403569902</v>
      </c>
      <c r="G202" s="22" t="n">
        <v>2751179.5059123598</v>
      </c>
      <c r="H202" s="23" t="n">
        <v>21.034277061441699</v>
      </c>
      <c r="I202" s="27" t="n">
        <v>3424570.3012076602</v>
      </c>
      <c r="J202" s="28" t="n">
        <v>26.182719221768501</v>
      </c>
      <c r="K202" s="24" t="str">
        <f>=HYPERLINK("https://ucloud.univie.ac.at/index.php/f/1567856234","Open Cytogram")</f>
      </c>
      <c r="L202" s="15" t="s">
        <v>314</v>
      </c>
      <c r="M202" s="25" t="s">
        <v>14</v>
      </c>
      <c r="N202" s="25" t="s">
        <v>314</v>
      </c>
      <c r="O202" s="25" t="s">
        <v>206</v>
      </c>
    </row>
    <row r="203" ht="16.5" customHeight="1">
      <c r="A203" s="17" t="s">
        <v>264</v>
      </c>
      <c r="B203" s="18" t="n">
        <v>46195</v>
      </c>
      <c r="C203" s="18" t="n">
        <v>46184</v>
      </c>
      <c r="D203" s="19" t="n">
        <f t="shared" si="98"/>
        <v>11</v>
      </c>
      <c r="E203" s="20" t="n">
        <v>1299555.5619348299</v>
      </c>
      <c r="F203" s="21" t="n">
        <v>7.3482311835783998</v>
      </c>
      <c r="G203" s="22" t="n">
        <v>14275801.2918042</v>
      </c>
      <c r="H203" s="23" t="n">
        <v>80.721356820497903</v>
      </c>
      <c r="I203" s="27" t="n">
        <v>1628467.3460599901</v>
      </c>
      <c r="J203" s="28" t="n">
        <v>9.2080361042364292</v>
      </c>
      <c r="K203" s="24" t="str">
        <f>=HYPERLINK("https://ucloud.univie.ac.at/index.php/f/1552579888","Open Cytogram")</f>
      </c>
      <c r="L203" s="15" t="s">
        <v>314</v>
      </c>
      <c r="M203" s="25" t="s">
        <v>14</v>
      </c>
      <c r="N203" s="25" t="s">
        <v>314</v>
      </c>
      <c r="O203" s="25" t="s">
        <v>218</v>
      </c>
    </row>
    <row r="204">
      <c r="A204" s="17" t="s">
        <v>265</v>
      </c>
      <c r="B204" s="18" t="n">
        <v>46195</v>
      </c>
      <c r="C204" s="18"/>
      <c r="D204" s="19" t="str">
        <f t="shared" si="98"/>
        <v/>
      </c>
      <c r="E204" s="20" t="n">
        <v>7549045.97855228</v>
      </c>
      <c r="F204" s="21" t="n">
        <v>29.950142450142501</v>
      </c>
      <c r="G204" s="22" t="n">
        <v>15203735.7908847</v>
      </c>
      <c r="H204" s="23" t="n">
        <v>60.319417050186303</v>
      </c>
      <c r="I204" s="27" t="n">
        <v>1822183.5120643401</v>
      </c>
      <c r="J204" s="28" t="n">
        <v>7.2293447293447297</v>
      </c>
      <c r="K204" s="24" t="str">
        <f>=HYPERLINK("https://ucloud.univie.ac.at/index.php/f/1556102618","Open Cytogram")</f>
      </c>
      <c r="L204" s="15" t="s">
        <v>314</v>
      </c>
      <c r="M204" s="16" t="s">
        <v>14</v>
      </c>
      <c r="N204" s="16" t="s">
        <v>314</v>
      </c>
      <c r="O204" s="16" t="s">
        <v>202</v>
      </c>
    </row>
    <row r="205">
      <c r="A205" s="17" t="s">
        <v>266</v>
      </c>
      <c r="B205" s="18" t="n">
        <v>46195</v>
      </c>
      <c r="C205" s="18" t="n">
        <v>46184</v>
      </c>
      <c r="D205" s="19" t="n">
        <f t="shared" si="98"/>
        <v>11</v>
      </c>
      <c r="E205" s="20" t="n">
        <v>2079031.4339026799</v>
      </c>
      <c r="F205" s="21" t="n">
        <v>13.8936682725396</v>
      </c>
      <c r="G205" s="22" t="n">
        <v>10624944.8543132</v>
      </c>
      <c r="H205" s="23" t="n">
        <v>71.003957329662796</v>
      </c>
      <c r="I205" s="27" t="n">
        <v>1945149.5335151399</v>
      </c>
      <c r="J205" s="28" t="n">
        <v>12.998967653131499</v>
      </c>
      <c r="K205" s="24" t="str">
        <f>=HYPERLINK("https://ucloud.univie.ac.at/index.php/f/1552579888","Open Cytogram")</f>
      </c>
      <c r="L205" s="15" t="s">
        <v>314</v>
      </c>
      <c r="M205" s="25" t="s">
        <v>14</v>
      </c>
      <c r="N205" s="25" t="s">
        <v>314</v>
      </c>
      <c r="O205" s="25" t="s">
        <v>218</v>
      </c>
    </row>
    <row r="206">
      <c r="A206" s="2" t="s">
        <v>267</v>
      </c>
      <c r="B206" s="3" t="n">
        <v>46184</v>
      </c>
      <c r="C206" s="3" t="n">
        <v>46184</v>
      </c>
      <c r="D206" s="4" t="n">
        <f t="shared" si="98"/>
        <v>0</v>
      </c>
      <c r="E206" s="5" t="n">
        <v>923068.54777609103</v>
      </c>
      <c r="F206" s="6" t="n">
        <v>51.476421330982802</v>
      </c>
      <c r="G206" s="7" t="n">
        <v>202316.394033116</v>
      </c>
      <c r="H206" s="8" t="n">
        <v>11.282503305420899</v>
      </c>
      <c r="I206" s="12" t="n">
        <v>591143.21381551004</v>
      </c>
      <c r="J206" s="13" t="n">
        <v>32.966064345526704</v>
      </c>
      <c r="K206" s="14" t="str">
        <f>=HYPERLINK("https://ucloud.univie.ac.at/index.php/f/1525440666","Open Cytogram")</f>
      </c>
      <c r="L206" s="9" t="s">
        <v>314</v>
      </c>
      <c r="M206" s="10" t="s">
        <v>14</v>
      </c>
      <c r="N206" s="10" t="s">
        <v>314</v>
      </c>
      <c r="O206" s="10" t="s">
        <v>185</v>
      </c>
    </row>
    <row r="207">
      <c r="A207" s="2" t="s">
        <v>314</v>
      </c>
      <c r="B207" s="3" t="n">
        <v>46191</v>
      </c>
      <c r="C207" s="3" t="n">
        <v>46184</v>
      </c>
      <c r="D207" s="4" t="n">
        <f t="shared" si="98"/>
        <v>7</v>
      </c>
      <c r="E207" s="5" t="n">
        <v>3235963.80421835</v>
      </c>
      <c r="F207" s="6" t="n">
        <v>17.988226789218199</v>
      </c>
      <c r="G207" s="7" t="n">
        <v>13323595.141998099</v>
      </c>
      <c r="H207" s="8" t="n">
        <v>74.063823195290695</v>
      </c>
      <c r="I207" s="12" t="n">
        <v>989850.45061863505</v>
      </c>
      <c r="J207" s="13" t="n">
        <v>5.5024269338015097</v>
      </c>
      <c r="K207" s="14" t="str">
        <f>=HYPERLINK("https://ucloud.univie.ac.at/index.php/f/1527061636","Open Cytogram")</f>
      </c>
      <c r="L207" s="9" t="s">
        <v>314</v>
      </c>
      <c r="M207" t="s">
        <v>14</v>
      </c>
      <c r="N207" t="s">
        <v>314</v>
      </c>
      <c r="O207" t="s">
        <v>255</v>
      </c>
    </row>
    <row r="208">
      <c r="A208" s="2" t="s">
        <v>314</v>
      </c>
      <c r="B208" s="3" t="n">
        <v>46196</v>
      </c>
      <c r="C208" s="3" t="n">
        <v>46184</v>
      </c>
      <c r="D208" s="4" t="n">
        <f t="shared" si="98"/>
        <v>12</v>
      </c>
      <c r="E208" s="5" t="n">
        <v>4236110.58981233</v>
      </c>
      <c r="F208" s="6" t="n">
        <v>19.592501516941802</v>
      </c>
      <c r="G208" s="7" t="n">
        <v>15777526.8096515</v>
      </c>
      <c r="H208" s="8" t="n">
        <v>72.972886660492406</v>
      </c>
      <c r="I208" s="12" t="n">
        <v>1060581.23324397</v>
      </c>
      <c r="J208" s="13" t="n">
        <v>4.9053108932392302</v>
      </c>
      <c r="K208" s="14" t="str">
        <f>=HYPERLINK("https://ucloud.univie.ac.at/index.php/f/1556102618","Open Cytogram")</f>
      </c>
      <c r="L208" s="9" t="s">
        <v>314</v>
      </c>
      <c r="M208" s="10" t="s">
        <v>14</v>
      </c>
      <c r="N208" s="10" t="s">
        <v>314</v>
      </c>
      <c r="O208" s="10" t="s">
        <v>202</v>
      </c>
    </row>
    <row r="209">
      <c r="A209" s="2" t="s">
        <v>314</v>
      </c>
      <c r="B209" s="3" t="n">
        <v>46197</v>
      </c>
      <c r="C209" s="3"/>
      <c r="D209" s="4" t="str">
        <f t="shared" si="98"/>
        <v/>
      </c>
      <c r="E209" s="5" t="n">
        <v>2338803.0784368799</v>
      </c>
      <c r="F209" s="6" t="n">
        <v>8.4740827023878804</v>
      </c>
      <c r="G209" s="7" t="n">
        <v>21834856.575063199</v>
      </c>
      <c r="H209" s="8" t="n">
        <v>79.113278974956302</v>
      </c>
      <c r="I209" s="12" t="n">
        <v>3023298.1374754002</v>
      </c>
      <c r="J209" s="13" t="n">
        <v>10.9541836536595</v>
      </c>
      <c r="K209" s="14" t="str">
        <f>=HYPERLINK("https://ucloud.univie.ac.at/index.php/f/1563063010","Open Cytogram")</f>
      </c>
      <c r="L209" s="9" t="s">
        <v>314</v>
      </c>
      <c r="M209" t="s">
        <v>14</v>
      </c>
      <c r="N209" t="s">
        <v>314</v>
      </c>
      <c r="O209" s="11" t="s">
        <v>204</v>
      </c>
    </row>
    <row r="210">
      <c r="A210" s="2" t="s">
        <v>314</v>
      </c>
      <c r="B210" s="3" t="n">
        <v>46199</v>
      </c>
      <c r="C210" s="3"/>
      <c r="D210" s="4" t="str">
        <f t="shared" si="98"/>
        <v/>
      </c>
      <c r="E210" s="5" t="n">
        <v>11358818.352726299</v>
      </c>
      <c r="F210" s="6" t="n">
        <v>44.581066120179997</v>
      </c>
      <c r="G210" s="7" t="n">
        <v>8667655.8517422099</v>
      </c>
      <c r="H210" s="8" t="n">
        <v>34.018797258144303</v>
      </c>
      <c r="I210" s="12" t="n">
        <v>4215594.42616239</v>
      </c>
      <c r="J210" s="13" t="n">
        <v>16.545356040798101</v>
      </c>
      <c r="K210" s="14" t="str">
        <f>=HYPERLINK("https://ucloud.univie.ac.at/index.php/f/1567856234","Open Cytogram")</f>
      </c>
      <c r="L210" s="9" t="s">
        <v>314</v>
      </c>
      <c r="M210" s="10" t="s">
        <v>104</v>
      </c>
      <c r="N210" s="10" t="s">
        <v>314</v>
      </c>
      <c r="O210" s="10" t="s">
        <v>206</v>
      </c>
    </row>
    <row r="211">
      <c r="A211" s="2" t="s">
        <v>314</v>
      </c>
      <c r="B211" s="3" t="n">
        <v>46203</v>
      </c>
      <c r="C211" s="3"/>
      <c r="D211" s="4" t="str">
        <f t="shared" si="98"/>
        <v/>
      </c>
      <c r="E211" s="5" t="n">
        <v>6994976.9046949605</v>
      </c>
      <c r="F211" s="6" t="n">
        <v>29.8749964243829</v>
      </c>
      <c r="G211" s="7" t="n">
        <v>13946419.3878268</v>
      </c>
      <c r="H211" s="8" t="n">
        <v>59.564060756886597</v>
      </c>
      <c r="I211" s="12" t="n">
        <v>1474812.25049199</v>
      </c>
      <c r="J211" s="13" t="n">
        <v>6.2988071741182496</v>
      </c>
      <c r="K211" s="14" t="str">
        <f>=HYPERLINK("https://ucloud.univie.ac.at/index.php/f/1563063010","Open Cytogram")</f>
      </c>
      <c r="L211" s="9" t="s">
        <v>314</v>
      </c>
      <c r="M211" s="10" t="s">
        <v>14</v>
      </c>
      <c r="N211" s="10" t="s">
        <v>314</v>
      </c>
      <c r="O211" s="10" t="s">
        <v>204</v>
      </c>
    </row>
    <row r="212">
      <c r="A212" s="2" t="s">
        <v>314</v>
      </c>
      <c r="B212" s="3" t="n">
        <v>46209</v>
      </c>
      <c r="C212" s="3"/>
      <c r="D212" s="4" t="str">
        <f t="shared" si="98"/>
        <v/>
      </c>
      <c r="E212" s="5" t="n">
        <v>12992278.6422201</v>
      </c>
      <c r="F212" s="6" t="n">
        <v>35.6698357821953</v>
      </c>
      <c r="G212" s="7" t="n">
        <v>16730667.517343899</v>
      </c>
      <c r="H212" s="8" t="n">
        <v>45.933448573897998</v>
      </c>
      <c r="I212" s="12" t="n">
        <v>4286161.2239841502</v>
      </c>
      <c r="J212" s="13" t="n">
        <v>11.7675021607606</v>
      </c>
      <c r="K212" s="14" t="str">
        <f>=HYPERLINK("https://ucloud.univie.ac.at/index.php/f/1563063010","Open Cytogram")</f>
      </c>
      <c r="L212" s="9" t="s">
        <v>314</v>
      </c>
      <c r="M212" t="s">
        <v>14</v>
      </c>
      <c r="N212" t="s">
        <v>314</v>
      </c>
      <c r="O212" t="s">
        <v>204</v>
      </c>
    </row>
    <row r="213">
      <c r="A213" s="2" t="s">
        <v>314</v>
      </c>
      <c r="B213" s="3" t="n">
        <v>46216</v>
      </c>
      <c r="C213" s="3"/>
      <c r="D213" s="4" t="str">
        <f t="shared" si="98"/>
        <v/>
      </c>
      <c r="E213" s="5" t="n">
        <v>7841959.3161546299</v>
      </c>
      <c r="F213" s="6" t="n">
        <v>24.2882215288612</v>
      </c>
      <c r="G213" s="7" t="n">
        <v>17752231.466798902</v>
      </c>
      <c r="H213" s="8" t="n">
        <v>54.982449297971897</v>
      </c>
      <c r="I213" s="12" t="n">
        <v>5348650.6937562097</v>
      </c>
      <c r="J213" s="13" t="n">
        <v>16.565912636505502</v>
      </c>
      <c r="K213" s="14" t="str">
        <f>=HYPERLINK("https://ucloud.univie.ac.at/index.php/f/1563063010","Open Cytogram")</f>
      </c>
      <c r="L213" s="9" t="s">
        <v>314</v>
      </c>
      <c r="M213" s="10" t="s">
        <v>14</v>
      </c>
      <c r="N213" s="10" t="s">
        <v>314</v>
      </c>
      <c r="O213" s="10" t="s">
        <v>204</v>
      </c>
    </row>
    <row r="214" ht="15.75" customHeight="1">
      <c r="A214" s="17" t="s">
        <v>314</v>
      </c>
      <c r="B214" s="18" t="n">
        <v>46206</v>
      </c>
      <c r="C214" s="18"/>
      <c r="D214" s="19" t="str">
        <f t="shared" si="98"/>
        <v/>
      </c>
      <c r="E214" s="20" t="n">
        <v>10547388.446095901</v>
      </c>
      <c r="F214" s="21" t="n">
        <v>49.082530372853</v>
      </c>
      <c r="G214" s="22" t="n">
        <v>1616858.1127678701</v>
      </c>
      <c r="H214" s="23" t="n">
        <v>7.5240888144114004</v>
      </c>
      <c r="I214" s="27" t="n">
        <v>8143107.2286690399</v>
      </c>
      <c r="J214" s="28" t="n">
        <v>37.894148861890798</v>
      </c>
      <c r="K214" s="24" t="str">
        <f>=HYPERLINK("https://ucloud.univie.ac.at/index.php/f/1567856234","Open Cytogram")</f>
      </c>
      <c r="L214" s="15" t="s">
        <v>314</v>
      </c>
      <c r="M214" s="25" t="s">
        <v>14</v>
      </c>
      <c r="N214" s="25" t="s">
        <v>314</v>
      </c>
      <c r="O214" s="25" t="s">
        <v>206</v>
      </c>
    </row>
    <row r="215" ht="16.5" customHeight="1">
      <c r="A215" s="17" t="s">
        <v>268</v>
      </c>
      <c r="B215" s="18" t="n">
        <v>46195</v>
      </c>
      <c r="C215" s="18" t="n">
        <v>46184</v>
      </c>
      <c r="D215" s="19" t="n">
        <f t="shared" si="98"/>
        <v>11</v>
      </c>
      <c r="E215" s="20" t="n">
        <v>2031484.9535040101</v>
      </c>
      <c r="F215" s="21" t="n">
        <v>20.009180863001099</v>
      </c>
      <c r="G215" s="22" t="n">
        <v>6189737.3564194301</v>
      </c>
      <c r="H215" s="23" t="n">
        <v>60.966030806895802</v>
      </c>
      <c r="I215" s="27" t="n">
        <v>1752369.38125352</v>
      </c>
      <c r="J215" s="28" t="n">
        <v>17.260022442109602</v>
      </c>
      <c r="K215" s="24" t="str">
        <f>=HYPERLINK("https://ucloud.univie.ac.at/index.php/f/1552579888","Open Cytogram")</f>
      </c>
      <c r="L215" s="15" t="s">
        <v>314</v>
      </c>
      <c r="M215" s="25" t="s">
        <v>14</v>
      </c>
      <c r="N215" s="25" t="s">
        <v>314</v>
      </c>
      <c r="O215" s="25" t="s">
        <v>218</v>
      </c>
    </row>
    <row r="216">
      <c r="A216" s="17" t="s">
        <v>269</v>
      </c>
      <c r="B216" s="18" t="n">
        <v>46195</v>
      </c>
      <c r="C216" s="18" t="n">
        <v>46184</v>
      </c>
      <c r="D216" s="19" t="n">
        <f t="shared" si="98"/>
        <v>11</v>
      </c>
      <c r="E216" s="20" t="n">
        <v>1697982.94818429</v>
      </c>
      <c r="F216" s="21" t="n">
        <v>6.9450294860994104</v>
      </c>
      <c r="G216" s="22" t="n">
        <v>19505563.0256925</v>
      </c>
      <c r="H216" s="23" t="n">
        <v>79.780960404380806</v>
      </c>
      <c r="I216" s="27" t="n">
        <v>2608122.40562652</v>
      </c>
      <c r="J216" s="28" t="n">
        <v>10.667649536647</v>
      </c>
      <c r="K216" s="24" t="str">
        <f>=HYPERLINK("https://ucloud.univie.ac.at/index.php/f/1552579888","Open Cytogram")</f>
      </c>
      <c r="L216" s="15" t="s">
        <v>314</v>
      </c>
      <c r="M216" s="16" t="s">
        <v>14</v>
      </c>
      <c r="N216" s="16" t="s">
        <v>314</v>
      </c>
      <c r="O216" s="16" t="s">
        <v>218</v>
      </c>
    </row>
    <row r="217">
      <c r="A217" s="17" t="s">
        <v>270</v>
      </c>
      <c r="B217" s="18" t="n">
        <v>46195</v>
      </c>
      <c r="C217" s="18"/>
      <c r="D217" s="19" t="str">
        <f t="shared" si="98"/>
        <v/>
      </c>
      <c r="E217" s="20" t="n">
        <v>9444420.6434316393</v>
      </c>
      <c r="F217" s="21" t="n">
        <v>33.849732726192798</v>
      </c>
      <c r="G217" s="22" t="n">
        <v>15409499.597855199</v>
      </c>
      <c r="H217" s="23" t="n">
        <v>55.229162542070902</v>
      </c>
      <c r="I217" s="27" t="n">
        <v>2612786.05898123</v>
      </c>
      <c r="J217" s="28" t="n">
        <v>9.3644822807364907</v>
      </c>
      <c r="K217" s="24" t="str">
        <f>=HYPERLINK("https://ucloud.univie.ac.at/index.php/f/1556102618","Open Cytogram")</f>
      </c>
      <c r="L217" s="15" t="s">
        <v>314</v>
      </c>
      <c r="M217" s="25" t="s">
        <v>14</v>
      </c>
      <c r="N217" s="25" t="s">
        <v>314</v>
      </c>
      <c r="O217" s="25" t="s">
        <v>202</v>
      </c>
    </row>
    <row r="218">
      <c r="A218" s="17" t="s">
        <v>271</v>
      </c>
      <c r="B218" s="18" t="n">
        <v>46195</v>
      </c>
      <c r="C218" s="18" t="n">
        <v>46184</v>
      </c>
      <c r="D218" s="19" t="n">
        <f t="shared" si="98"/>
        <v>11</v>
      </c>
      <c r="E218" s="20" t="n">
        <v>1578375.25829218</v>
      </c>
      <c r="F218" s="21" t="n">
        <v>17.1399651352415</v>
      </c>
      <c r="G218" s="22" t="n">
        <v>5408835.1617000699</v>
      </c>
      <c r="H218" s="23" t="n">
        <v>58.735871337794499</v>
      </c>
      <c r="I218" s="27" t="n">
        <v>1992129.13997704</v>
      </c>
      <c r="J218" s="28" t="n">
        <v>21.633020300286798</v>
      </c>
      <c r="K218" s="24" t="str">
        <f>=HYPERLINK("https://ucloud.univie.ac.at/index.php/f/1552579888","Open Cytogram")</f>
      </c>
      <c r="L218" s="15" t="s">
        <v>314</v>
      </c>
      <c r="M218" s="16" t="s">
        <v>14</v>
      </c>
      <c r="N218" s="16" t="s">
        <v>314</v>
      </c>
      <c r="O218" s="16" t="s">
        <v>218</v>
      </c>
    </row>
    <row r="219">
      <c r="A219" s="2" t="s">
        <v>272</v>
      </c>
      <c r="B219" s="3" t="n">
        <v>46184</v>
      </c>
      <c r="C219" s="3" t="n">
        <v>46184</v>
      </c>
      <c r="D219" s="4" t="n">
        <f t="shared" si="98"/>
        <v>0</v>
      </c>
      <c r="E219" s="5" t="n">
        <v>2157119.5215366799</v>
      </c>
      <c r="F219" s="6" t="n">
        <v>55.365111561866101</v>
      </c>
      <c r="G219" s="7" t="n">
        <v>542803.29414744198</v>
      </c>
      <c r="H219" s="8" t="n">
        <v>13.931710615280601</v>
      </c>
      <c r="I219" s="12" t="n">
        <v>1080074.49939554</v>
      </c>
      <c r="J219" s="13" t="n">
        <v>27.721433400946601</v>
      </c>
      <c r="K219" s="14" t="str">
        <f>=HYPERLINK("https://ucloud.univie.ac.at/index.php/f/1525440666","Open Cytogram")</f>
      </c>
      <c r="L219" s="9" t="s">
        <v>314</v>
      </c>
      <c r="M219" t="s">
        <v>14</v>
      </c>
      <c r="N219" t="s">
        <v>314</v>
      </c>
      <c r="O219" t="s">
        <v>185</v>
      </c>
    </row>
    <row r="220">
      <c r="A220" s="2" t="s">
        <v>314</v>
      </c>
      <c r="B220" s="3" t="n">
        <v>46191</v>
      </c>
      <c r="C220" s="3" t="n">
        <v>46184</v>
      </c>
      <c r="D220" s="4" t="n">
        <f t="shared" si="98"/>
        <v>7</v>
      </c>
      <c r="E220" s="5" t="n">
        <v>1997164.4790071901</v>
      </c>
      <c r="F220" s="6" t="n">
        <v>13.630369731703601</v>
      </c>
      <c r="G220" s="7" t="n">
        <v>11530420.113963</v>
      </c>
      <c r="H220" s="8" t="n">
        <v>78.693513211949096</v>
      </c>
      <c r="I220" s="12" t="n">
        <v>840481.12586312101</v>
      </c>
      <c r="J220" s="13" t="n">
        <v>5.7361667596490298</v>
      </c>
      <c r="K220" s="14" t="str">
        <f>=HYPERLINK("https://ucloud.univie.ac.at/index.php/f/1527061636","Open Cytogram")</f>
      </c>
      <c r="L220" s="9" t="s">
        <v>314</v>
      </c>
      <c r="M220" s="10" t="s">
        <v>14</v>
      </c>
      <c r="N220" s="10" t="s">
        <v>314</v>
      </c>
      <c r="O220" s="10" t="s">
        <v>255</v>
      </c>
    </row>
    <row r="221">
      <c r="A221" s="2" t="s">
        <v>314</v>
      </c>
      <c r="B221" s="3" t="n">
        <v>46196</v>
      </c>
      <c r="C221" s="3" t="n">
        <v>46184</v>
      </c>
      <c r="D221" s="4" t="n">
        <f t="shared" si="98"/>
        <v>12</v>
      </c>
      <c r="E221" s="5" t="n">
        <v>3924702.9490616601</v>
      </c>
      <c r="F221" s="6" t="n">
        <v>18.5369989890096</v>
      </c>
      <c r="G221" s="7" t="n">
        <v>15761645.710455799</v>
      </c>
      <c r="H221" s="8" t="n">
        <v>74.444770570394297</v>
      </c>
      <c r="I221" s="12" t="n">
        <v>1003271.1796246601</v>
      </c>
      <c r="J221" s="13" t="n">
        <v>4.7386100512017704</v>
      </c>
      <c r="K221" s="14" t="str">
        <f>=HYPERLINK("https://ucloud.univie.ac.at/index.php/f/1556102618","Open Cytogram")</f>
      </c>
      <c r="L221" s="9" t="s">
        <v>314</v>
      </c>
      <c r="M221" t="s">
        <v>14</v>
      </c>
      <c r="N221" t="s">
        <v>314</v>
      </c>
      <c r="O221" t="s">
        <v>202</v>
      </c>
    </row>
    <row r="222">
      <c r="A222" s="2" t="s">
        <v>314</v>
      </c>
      <c r="B222" s="3" t="n">
        <v>46197</v>
      </c>
      <c r="C222" s="3"/>
      <c r="D222" s="4" t="str">
        <f t="shared" si="98"/>
        <v/>
      </c>
      <c r="E222" s="5" t="n">
        <v>2038080.6894855199</v>
      </c>
      <c r="F222" s="6" t="n">
        <v>8.4181697465973198</v>
      </c>
      <c r="G222" s="7" t="n">
        <v>19062048.801658701</v>
      </c>
      <c r="H222" s="8" t="n">
        <v>78.734646453469097</v>
      </c>
      <c r="I222" s="12" t="n">
        <v>2747356.8807984199</v>
      </c>
      <c r="J222" s="13" t="n">
        <v>11.347792408985301</v>
      </c>
      <c r="K222" s="14" t="str">
        <f>=HYPERLINK("https://ucloud.univie.ac.at/index.php/f/1563063010","Open Cytogram")</f>
      </c>
      <c r="L222" s="9" t="s">
        <v>314</v>
      </c>
      <c r="M222" s="10" t="s">
        <v>14</v>
      </c>
      <c r="N222" s="10" t="s">
        <v>314</v>
      </c>
      <c r="O222" s="10" t="s">
        <v>204</v>
      </c>
    </row>
    <row r="223" ht="15.75" customHeight="1">
      <c r="A223" s="2" t="s">
        <v>314</v>
      </c>
      <c r="B223" s="3" t="n">
        <v>46199</v>
      </c>
      <c r="C223" s="3"/>
      <c r="D223" s="4" t="str">
        <f t="shared" si="98"/>
        <v/>
      </c>
      <c r="E223" s="5" t="n">
        <v>11076738.429563399</v>
      </c>
      <c r="F223" s="6" t="n">
        <v>52.6036767849508</v>
      </c>
      <c r="G223" s="7" t="n">
        <v>5512561.9026625296</v>
      </c>
      <c r="H223" s="8" t="n">
        <v>26.179278894114301</v>
      </c>
      <c r="I223" s="12" t="n">
        <v>3444976.0828832798</v>
      </c>
      <c r="J223" s="13" t="n">
        <v>16.360267920763899</v>
      </c>
      <c r="K223" s="14" t="str">
        <f>=HYPERLINK("https://ucloud.univie.ac.at/index.php/f/1567856234","Open Cytogram")</f>
      </c>
      <c r="L223" s="9" t="s">
        <v>314</v>
      </c>
      <c r="M223" s="11" t="s">
        <v>104</v>
      </c>
      <c r="N223" s="11" t="s">
        <v>314</v>
      </c>
      <c r="O223" s="11" t="s">
        <v>206</v>
      </c>
    </row>
    <row r="224" ht="15.75" customHeight="1">
      <c r="A224" s="2" t="s">
        <v>314</v>
      </c>
      <c r="B224" s="3" t="n">
        <v>46203</v>
      </c>
      <c r="C224" s="3"/>
      <c r="D224" s="4" t="str">
        <f t="shared" si="98"/>
        <v/>
      </c>
      <c r="E224" s="5" t="n">
        <v>5406149.3960083099</v>
      </c>
      <c r="F224" s="6" t="n">
        <v>28.348457350272199</v>
      </c>
      <c r="G224" s="7" t="n">
        <v>11978936.566728899</v>
      </c>
      <c r="H224" s="8" t="n">
        <v>62.814463213737298</v>
      </c>
      <c r="I224" s="12" t="n">
        <v>959507.65405367594</v>
      </c>
      <c r="J224" s="13" t="n">
        <v>5.0314114197961697</v>
      </c>
      <c r="K224" s="14" t="str">
        <f>=HYPERLINK("https://ucloud.univie.ac.at/index.php/f/1563063010","Open Cytogram")</f>
      </c>
      <c r="L224" s="9" t="s">
        <v>314</v>
      </c>
      <c r="M224" t="s">
        <v>14</v>
      </c>
      <c r="N224" t="s">
        <v>314</v>
      </c>
      <c r="O224" t="s">
        <v>204</v>
      </c>
    </row>
    <row r="225">
      <c r="A225" s="2" t="s">
        <v>314</v>
      </c>
      <c r="B225" s="3" t="n">
        <v>46209</v>
      </c>
      <c r="C225" s="3"/>
      <c r="D225" s="4" t="str">
        <f t="shared" si="98"/>
        <v/>
      </c>
      <c r="E225" s="5" t="n">
        <v>13023759.811694801</v>
      </c>
      <c r="F225" s="6" t="n">
        <v>40.370822151744299</v>
      </c>
      <c r="G225" s="7" t="n">
        <v>12570430.9712587</v>
      </c>
      <c r="H225" s="8" t="n">
        <v>38.965601366186903</v>
      </c>
      <c r="I225" s="12" t="n">
        <v>5230596.30822598</v>
      </c>
      <c r="J225" s="13" t="n">
        <v>16.213710661136901</v>
      </c>
      <c r="K225" s="14" t="str">
        <f>=HYPERLINK("https://ucloud.univie.ac.at/index.php/f/1563063010","Open Cytogram")</f>
      </c>
      <c r="L225" s="9" t="s">
        <v>314</v>
      </c>
      <c r="M225" s="10" t="s">
        <v>14</v>
      </c>
      <c r="N225" s="10" t="s">
        <v>314</v>
      </c>
      <c r="O225" s="10" t="s">
        <v>204</v>
      </c>
    </row>
    <row r="226">
      <c r="A226" s="2" t="s">
        <v>314</v>
      </c>
      <c r="B226" s="3" t="n">
        <v>46216</v>
      </c>
      <c r="C226" s="3"/>
      <c r="D226" s="4" t="str">
        <f t="shared" si="98"/>
        <v/>
      </c>
      <c r="E226" s="5" t="n">
        <v>11041483.449121401</v>
      </c>
      <c r="F226" s="6" t="n">
        <v>34.339289276452703</v>
      </c>
      <c r="G226" s="7" t="n">
        <v>12634022.7217001</v>
      </c>
      <c r="H226" s="8" t="n">
        <v>39.2921261862016</v>
      </c>
      <c r="I226" s="12" t="n">
        <v>6904363.30200247</v>
      </c>
      <c r="J226" s="13" t="n">
        <v>21.472742298595101</v>
      </c>
      <c r="K226" s="14" t="str">
        <f>=HYPERLINK("https://ucloud.univie.ac.at/index.php/f/1563063010","Open Cytogram")</f>
      </c>
      <c r="L226" s="9" t="s">
        <v>314</v>
      </c>
      <c r="M226" t="s">
        <v>14</v>
      </c>
      <c r="N226" t="s">
        <v>314</v>
      </c>
      <c r="O226" t="s">
        <v>204</v>
      </c>
    </row>
    <row r="227" ht="15.75" customHeight="1">
      <c r="A227" s="17" t="s">
        <v>314</v>
      </c>
      <c r="B227" s="18" t="n">
        <v>46206</v>
      </c>
      <c r="C227" s="18"/>
      <c r="D227" s="19" t="str">
        <f t="shared" si="98"/>
        <v/>
      </c>
      <c r="E227" s="20" t="n">
        <v>8752879.9987403695</v>
      </c>
      <c r="F227" s="21" t="n">
        <v>49.849603500136702</v>
      </c>
      <c r="G227" s="22" t="n">
        <v>3021856.1981389001</v>
      </c>
      <c r="H227" s="23" t="n">
        <v>17.210144927536199</v>
      </c>
      <c r="I227" s="27" t="n">
        <v>4687928.2549479604</v>
      </c>
      <c r="J227" s="28" t="n">
        <v>26.6987968280011</v>
      </c>
      <c r="K227" s="24" t="str">
        <f>=HYPERLINK("https://ucloud.univie.ac.at/index.php/f/1567856234","Open Cytogram")</f>
      </c>
      <c r="L227" s="15" t="s">
        <v>314</v>
      </c>
      <c r="M227" s="16" t="s">
        <v>14</v>
      </c>
      <c r="N227" s="16" t="s">
        <v>314</v>
      </c>
      <c r="O227" s="16" t="s">
        <v>206</v>
      </c>
    </row>
    <row r="228" ht="16.5" customHeight="1">
      <c r="A228" s="17" t="s">
        <v>273</v>
      </c>
      <c r="B228" s="18" t="n">
        <v>46195</v>
      </c>
      <c r="C228" s="18" t="n">
        <v>46184</v>
      </c>
      <c r="D228" s="19" t="n">
        <f t="shared" si="98"/>
        <v>11</v>
      </c>
      <c r="E228" s="20" t="n">
        <v>1362735.7640842099</v>
      </c>
      <c r="F228" s="21" t="n">
        <v>18.2144511347846</v>
      </c>
      <c r="G228" s="22" t="n">
        <v>4532634.1498338003</v>
      </c>
      <c r="H228" s="23" t="n">
        <v>60.583603520148202</v>
      </c>
      <c r="I228" s="27" t="n">
        <v>1459331.4650984399</v>
      </c>
      <c r="J228" s="28" t="n">
        <v>19.505558128763301</v>
      </c>
      <c r="K228" s="24" t="str">
        <f>=HYPERLINK("https://ucloud.univie.ac.at/index.php/f/1552579888","Open Cytogram")</f>
      </c>
      <c r="L228" s="15" t="s">
        <v>314</v>
      </c>
      <c r="M228" s="16" t="s">
        <v>14</v>
      </c>
      <c r="N228" s="16" t="s">
        <v>314</v>
      </c>
      <c r="O228" s="16" t="s">
        <v>218</v>
      </c>
    </row>
    <row r="229">
      <c r="A229" s="17" t="s">
        <v>274</v>
      </c>
      <c r="B229" s="18" t="n">
        <v>46195</v>
      </c>
      <c r="C229" s="18" t="n">
        <v>46184</v>
      </c>
      <c r="D229" s="19" t="n">
        <f t="shared" si="98"/>
        <v>11</v>
      </c>
      <c r="E229" s="20" t="n">
        <v>1882714.2241998001</v>
      </c>
      <c r="F229" s="21" t="n">
        <v>7.9874385581649401</v>
      </c>
      <c r="G229" s="22" t="n">
        <v>19166352.633845199</v>
      </c>
      <c r="H229" s="23" t="n">
        <v>81.313489896231602</v>
      </c>
      <c r="I229" s="27" t="n">
        <v>2192959.78182862</v>
      </c>
      <c r="J229" s="28" t="n">
        <v>9.3036592026215192</v>
      </c>
      <c r="K229" s="24" t="str">
        <f>=HYPERLINK("https://ucloud.univie.ac.at/index.php/f/1552579888","Open Cytogram")</f>
      </c>
      <c r="L229" s="15" t="s">
        <v>314</v>
      </c>
      <c r="M229" s="25" t="s">
        <v>14</v>
      </c>
      <c r="N229" s="25" t="s">
        <v>314</v>
      </c>
      <c r="O229" s="25" t="s">
        <v>218</v>
      </c>
    </row>
    <row r="230">
      <c r="A230" s="17" t="s">
        <v>275</v>
      </c>
      <c r="B230" s="18" t="n">
        <v>46195</v>
      </c>
      <c r="C230" s="18"/>
      <c r="D230" s="19" t="str">
        <f t="shared" si="98"/>
        <v/>
      </c>
      <c r="E230" s="20" t="n">
        <v>4699424.3967828397</v>
      </c>
      <c r="F230" s="21" t="n">
        <v>25.609572546658601</v>
      </c>
      <c r="G230" s="22" t="n">
        <v>11341866.756032201</v>
      </c>
      <c r="H230" s="23" t="n">
        <v>61.807645996387699</v>
      </c>
      <c r="I230" s="27" t="n">
        <v>2001708.9812332401</v>
      </c>
      <c r="J230" s="28" t="n">
        <v>10.908338350391301</v>
      </c>
      <c r="K230" s="24" t="str">
        <f>=HYPERLINK("https://ucloud.univie.ac.at/index.php/f/1556102618","Open Cytogram")</f>
      </c>
      <c r="L230" s="15" t="s">
        <v>314</v>
      </c>
      <c r="M230" s="16" t="s">
        <v>14</v>
      </c>
      <c r="N230" s="16" t="s">
        <v>314</v>
      </c>
      <c r="O230" s="16" t="s">
        <v>202</v>
      </c>
    </row>
    <row r="231">
      <c r="A231" s="17" t="s">
        <v>276</v>
      </c>
      <c r="B231" s="18" t="n">
        <v>46195</v>
      </c>
      <c r="C231" s="18" t="n">
        <v>46184</v>
      </c>
      <c r="D231" s="19" t="n">
        <f t="shared" si="98"/>
        <v>11</v>
      </c>
      <c r="E231" s="20" t="n">
        <v>1741752.0310033001</v>
      </c>
      <c r="F231" s="21" t="n">
        <v>12.257655372350101</v>
      </c>
      <c r="G231" s="22" t="n">
        <v>9928501.5071048997</v>
      </c>
      <c r="H231" s="23" t="n">
        <v>69.872259467294796</v>
      </c>
      <c r="I231" s="27" t="n">
        <v>2300451.49992823</v>
      </c>
      <c r="J231" s="28" t="n">
        <v>16.189527088240599</v>
      </c>
      <c r="K231" s="24" t="str">
        <f>=HYPERLINK("https://ucloud.univie.ac.at/index.php/f/1552579888","Open Cytogram")</f>
      </c>
      <c r="L231" s="15" t="s">
        <v>314</v>
      </c>
      <c r="M231" s="25" t="s">
        <v>14</v>
      </c>
      <c r="N231" s="25" t="s">
        <v>314</v>
      </c>
      <c r="O231" s="25" t="s">
        <v>218</v>
      </c>
    </row>
    <row r="232">
      <c r="A232" s="2" t="s">
        <v>277</v>
      </c>
      <c r="B232" s="3" t="n">
        <v>46184</v>
      </c>
      <c r="C232" s="3" t="n">
        <v>46184</v>
      </c>
      <c r="D232" s="4" t="n">
        <f t="shared" si="98"/>
        <v>0</v>
      </c>
      <c r="E232" s="5" t="n">
        <v>1922796.0417287899</v>
      </c>
      <c r="F232" s="6" t="n">
        <v>54.384919156545699</v>
      </c>
      <c r="G232" s="7" t="n">
        <v>506186.134289885</v>
      </c>
      <c r="H232" s="8" t="n">
        <v>14.3171149690783</v>
      </c>
      <c r="I232" s="12" t="n">
        <v>971276.75104179396</v>
      </c>
      <c r="J232" s="13" t="n">
        <v>27.471872438715401</v>
      </c>
      <c r="K232" s="14" t="str">
        <f>=HYPERLINK("https://ucloud.univie.ac.at/index.php/f/1525440666","Open Cytogram")</f>
      </c>
      <c r="L232" s="9" t="s">
        <v>314</v>
      </c>
      <c r="M232" s="10" t="s">
        <v>14</v>
      </c>
      <c r="N232" s="10" t="s">
        <v>314</v>
      </c>
      <c r="O232" s="10" t="s">
        <v>185</v>
      </c>
    </row>
    <row r="233">
      <c r="A233" s="2" t="s">
        <v>314</v>
      </c>
      <c r="B233" s="3" t="n">
        <v>46191</v>
      </c>
      <c r="C233" s="3" t="n">
        <v>46184</v>
      </c>
      <c r="D233" s="4" t="n">
        <f t="shared" si="98"/>
        <v>7</v>
      </c>
      <c r="E233" s="5" t="n">
        <v>3867016.04342535</v>
      </c>
      <c r="F233" s="6" t="n">
        <v>16.587308275745801</v>
      </c>
      <c r="G233" s="7" t="n">
        <v>18172470.414664201</v>
      </c>
      <c r="H233" s="8" t="n">
        <v>77.949603910332002</v>
      </c>
      <c r="I233" s="12" t="n">
        <v>773599.67844467505</v>
      </c>
      <c r="J233" s="13" t="n">
        <v>3.3183043991235501</v>
      </c>
      <c r="K233" s="14" t="str">
        <f>=HYPERLINK("https://ucloud.univie.ac.at/index.php/f/1527061636","Open Cytogram")</f>
      </c>
      <c r="L233" s="9" t="s">
        <v>314</v>
      </c>
      <c r="M233" t="s">
        <v>14</v>
      </c>
      <c r="N233" t="s">
        <v>314</v>
      </c>
      <c r="O233" t="s">
        <v>255</v>
      </c>
    </row>
    <row r="234">
      <c r="A234" s="2" t="s">
        <v>314</v>
      </c>
      <c r="B234" s="3" t="n">
        <v>46196</v>
      </c>
      <c r="C234" s="3" t="n">
        <v>46184</v>
      </c>
      <c r="D234" s="4" t="n">
        <f t="shared" si="98"/>
        <v>12</v>
      </c>
      <c r="E234" s="5" t="n">
        <v>4715305.4959785501</v>
      </c>
      <c r="F234" s="6" t="n">
        <v>21.967381863801599</v>
      </c>
      <c r="G234" s="7" t="n">
        <v>14929614.2091153</v>
      </c>
      <c r="H234" s="8" t="n">
        <v>69.553189436098705</v>
      </c>
      <c r="I234" s="12" t="n">
        <v>980485.25469168904</v>
      </c>
      <c r="J234" s="13" t="n">
        <v>4.5678257792646404</v>
      </c>
      <c r="K234" s="14" t="str">
        <f>=HYPERLINK("https://ucloud.univie.ac.at/index.php/f/1556102618","Open Cytogram")</f>
      </c>
      <c r="L234" s="9" t="s">
        <v>314</v>
      </c>
      <c r="M234" s="10" t="s">
        <v>14</v>
      </c>
      <c r="N234" s="10" t="s">
        <v>314</v>
      </c>
      <c r="O234" s="10" t="s">
        <v>202</v>
      </c>
    </row>
    <row r="235">
      <c r="A235" s="2" t="s">
        <v>314</v>
      </c>
      <c r="B235" s="3" t="n">
        <v>46197</v>
      </c>
      <c r="C235" s="3"/>
      <c r="D235" s="4" t="str">
        <f t="shared" si="98"/>
        <v/>
      </c>
      <c r="E235" s="5" t="n">
        <v>4517657.8866061596</v>
      </c>
      <c r="F235" s="6" t="n">
        <v>15.422057917436801</v>
      </c>
      <c r="G235" s="7" t="n">
        <v>22528727.822859801</v>
      </c>
      <c r="H235" s="8" t="n">
        <v>76.906962415280404</v>
      </c>
      <c r="I235" s="12" t="n">
        <v>1748945.46229379</v>
      </c>
      <c r="J235" s="13" t="n">
        <v>5.9704251386321596</v>
      </c>
      <c r="K235" s="14" t="str">
        <f>=HYPERLINK("https://ucloud.univie.ac.at/index.php/f/1563063010","Open Cytogram")</f>
      </c>
      <c r="L235" s="9" t="s">
        <v>314</v>
      </c>
      <c r="M235" t="s">
        <v>14</v>
      </c>
      <c r="N235" t="s">
        <v>314</v>
      </c>
      <c r="O235" s="11" t="s">
        <v>204</v>
      </c>
    </row>
    <row r="236">
      <c r="A236" s="2" t="s">
        <v>314</v>
      </c>
      <c r="B236" s="3" t="n">
        <v>46199</v>
      </c>
      <c r="C236" s="3"/>
      <c r="D236" s="4" t="str">
        <f t="shared" si="98"/>
        <v/>
      </c>
      <c r="E236" s="5" t="n">
        <v>14047748.6828433</v>
      </c>
      <c r="F236" s="6" t="n">
        <v>65.876397538147799</v>
      </c>
      <c r="G236" s="7" t="n">
        <v>3112575.4171505398</v>
      </c>
      <c r="H236" s="8" t="n">
        <v>14.596307221676</v>
      </c>
      <c r="I236" s="12" t="n">
        <v>3089277.6969622802</v>
      </c>
      <c r="J236" s="13" t="n">
        <v>14.487053425106501</v>
      </c>
      <c r="K236" s="14" t="str">
        <f>=HYPERLINK("https://ucloud.univie.ac.at/index.php/f/1567856234","Open Cytogram")</f>
      </c>
      <c r="L236" s="9" t="s">
        <v>314</v>
      </c>
      <c r="M236" s="10" t="s">
        <v>104</v>
      </c>
      <c r="N236" s="10" t="s">
        <v>314</v>
      </c>
      <c r="O236" s="10" t="s">
        <v>206</v>
      </c>
    </row>
    <row r="237">
      <c r="A237" s="2" t="s">
        <v>314</v>
      </c>
      <c r="B237" s="3" t="n">
        <v>46203</v>
      </c>
      <c r="C237" s="3"/>
      <c r="D237" s="4" t="str">
        <f t="shared" si="98"/>
        <v/>
      </c>
      <c r="E237" s="5" t="n">
        <v>8043524.7190013397</v>
      </c>
      <c r="F237" s="6" t="n">
        <v>24.7061758509813</v>
      </c>
      <c r="G237" s="7" t="n">
        <v>22282359.344425201</v>
      </c>
      <c r="H237" s="8" t="n">
        <v>68.441623239826995</v>
      </c>
      <c r="I237" s="12" t="n">
        <v>1010742.47562902</v>
      </c>
      <c r="J237" s="13" t="n">
        <v>3.1045570462357199</v>
      </c>
      <c r="K237" s="14" t="str">
        <f>=HYPERLINK("https://ucloud.univie.ac.at/index.php/f/1563063010","Open Cytogram")</f>
      </c>
      <c r="L237" s="9" t="s">
        <v>314</v>
      </c>
      <c r="M237" s="10" t="s">
        <v>14</v>
      </c>
      <c r="N237" s="10" t="s">
        <v>314</v>
      </c>
      <c r="O237" s="10" t="s">
        <v>204</v>
      </c>
    </row>
    <row r="238">
      <c r="A238" s="2" t="s">
        <v>314</v>
      </c>
      <c r="B238" s="3" t="n">
        <v>46209</v>
      </c>
      <c r="C238" s="3"/>
      <c r="D238" s="4" t="str">
        <f t="shared" si="98"/>
        <v/>
      </c>
      <c r="E238" s="5" t="n">
        <v>14120878.567888999</v>
      </c>
      <c r="F238" s="6" t="n">
        <v>29.146495987523998</v>
      </c>
      <c r="G238" s="7" t="n">
        <v>28413329.509415299</v>
      </c>
      <c r="H238" s="8" t="n">
        <v>58.647129536372198</v>
      </c>
      <c r="I238" s="12" t="n">
        <v>4391623.1417244896</v>
      </c>
      <c r="J238" s="13" t="n">
        <v>9.0646219825205492</v>
      </c>
      <c r="K238" s="14" t="str">
        <f>=HYPERLINK("https://ucloud.univie.ac.at/index.php/f/1563063010","Open Cytogram")</f>
      </c>
      <c r="L238" s="9" t="s">
        <v>314</v>
      </c>
      <c r="M238" t="s">
        <v>14</v>
      </c>
      <c r="N238" t="s">
        <v>314</v>
      </c>
      <c r="O238" t="s">
        <v>204</v>
      </c>
    </row>
    <row r="239">
      <c r="A239" s="2" t="s">
        <v>314</v>
      </c>
      <c r="B239" s="3" t="n">
        <v>46216</v>
      </c>
      <c r="C239" s="3"/>
      <c r="D239" s="4" t="str">
        <f t="shared" si="98"/>
        <v/>
      </c>
      <c r="E239" s="5" t="n">
        <v>12620800.8424183</v>
      </c>
      <c r="F239" s="6" t="n">
        <v>31.7205364560668</v>
      </c>
      <c r="G239" s="7" t="n">
        <v>19156291.625371698</v>
      </c>
      <c r="H239" s="8" t="n">
        <v>48.146536376943502</v>
      </c>
      <c r="I239" s="12" t="n">
        <v>5676054.85629337</v>
      </c>
      <c r="J239" s="13" t="n">
        <v>14.265933457293199</v>
      </c>
      <c r="K239" s="14" t="str">
        <f>=HYPERLINK("https://ucloud.univie.ac.at/index.php/f/1563063010","Open Cytogram")</f>
      </c>
      <c r="L239" s="9" t="s">
        <v>314</v>
      </c>
      <c r="M239" s="10" t="s">
        <v>14</v>
      </c>
      <c r="N239" s="10" t="s">
        <v>314</v>
      </c>
      <c r="O239" s="10" t="s">
        <v>204</v>
      </c>
    </row>
    <row r="240" ht="15.75" customHeight="1">
      <c r="A240" s="17" t="s">
        <v>314</v>
      </c>
      <c r="B240" s="18" t="n">
        <v>46206</v>
      </c>
      <c r="C240" s="18"/>
      <c r="D240" s="19" t="str">
        <f t="shared" si="98"/>
        <v/>
      </c>
      <c r="E240" s="20" t="n">
        <v>11502084.456940301</v>
      </c>
      <c r="F240" s="21" t="n">
        <v>60.3053745928339</v>
      </c>
      <c r="G240" s="22" t="n">
        <v>1808679.6772813399</v>
      </c>
      <c r="H240" s="23" t="n">
        <v>9.4828990228013001</v>
      </c>
      <c r="I240" s="27" t="n">
        <v>4900287.1462624399</v>
      </c>
      <c r="J240" s="28" t="n">
        <v>25.692182410423399</v>
      </c>
      <c r="K240" s="24" t="str">
        <f>=HYPERLINK("https://ucloud.univie.ac.at/index.php/f/1567856234","Open Cytogram")</f>
      </c>
      <c r="L240" s="15" t="s">
        <v>314</v>
      </c>
      <c r="M240" s="25" t="s">
        <v>14</v>
      </c>
      <c r="N240" s="25" t="s">
        <v>314</v>
      </c>
      <c r="O240" s="25" t="s">
        <v>206</v>
      </c>
    </row>
    <row r="241" ht="16.5" customHeight="1">
      <c r="A241" s="17" t="s">
        <v>278</v>
      </c>
      <c r="B241" s="18" t="n">
        <v>46195</v>
      </c>
      <c r="C241" s="18" t="n">
        <v>46184</v>
      </c>
      <c r="D241" s="19" t="n">
        <f t="shared" si="98"/>
        <v>11</v>
      </c>
      <c r="E241" s="20" t="n">
        <v>4277873.3624513401</v>
      </c>
      <c r="F241" s="21" t="n">
        <v>25.0052970911402</v>
      </c>
      <c r="G241" s="22" t="n">
        <v>10966808.1430813</v>
      </c>
      <c r="H241" s="23" t="n">
        <v>64.103883524533103</v>
      </c>
      <c r="I241" s="27" t="n">
        <v>1220548.05898775</v>
      </c>
      <c r="J241" s="28" t="n">
        <v>7.1344250385930899</v>
      </c>
      <c r="K241" s="24" t="str">
        <f>=HYPERLINK("https://ucloud.univie.ac.at/index.php/f/1552579888","Open Cytogram")</f>
      </c>
      <c r="L241" s="15" t="s">
        <v>314</v>
      </c>
      <c r="M241" s="25" t="s">
        <v>14</v>
      </c>
      <c r="N241" s="25" t="s">
        <v>314</v>
      </c>
      <c r="O241" s="25" t="s">
        <v>218</v>
      </c>
    </row>
    <row r="242">
      <c r="A242" s="17" t="s">
        <v>279</v>
      </c>
      <c r="B242" s="18" t="n">
        <v>46195</v>
      </c>
      <c r="C242" s="18" t="n">
        <v>46184</v>
      </c>
      <c r="D242" s="19" t="n">
        <f t="shared" si="98"/>
        <v>11</v>
      </c>
      <c r="E242" s="20" t="n">
        <v>2729321.6448623198</v>
      </c>
      <c r="F242" s="21" t="n">
        <v>12.1955852741157</v>
      </c>
      <c r="G242" s="22" t="n">
        <v>18123205.875464201</v>
      </c>
      <c r="H242" s="23" t="n">
        <v>80.980965768777807</v>
      </c>
      <c r="I242" s="27" t="n">
        <v>1141043.50386456</v>
      </c>
      <c r="J242" s="28" t="n">
        <v>5.0985904790851402</v>
      </c>
      <c r="K242" s="24" t="str">
        <f>=HYPERLINK("https://ucloud.univie.ac.at/index.php/f/1552579888","Open Cytogram")</f>
      </c>
      <c r="L242" s="15" t="s">
        <v>314</v>
      </c>
      <c r="M242" s="16" t="s">
        <v>14</v>
      </c>
      <c r="N242" s="16" t="s">
        <v>314</v>
      </c>
      <c r="O242" s="16" t="s">
        <v>218</v>
      </c>
    </row>
    <row r="243">
      <c r="A243" s="17" t="s">
        <v>280</v>
      </c>
      <c r="B243" s="18" t="n">
        <v>46195</v>
      </c>
      <c r="C243" s="18"/>
      <c r="D243" s="19" t="str">
        <f t="shared" si="98"/>
        <v/>
      </c>
      <c r="E243" s="20" t="n">
        <v>8439768.4986595195</v>
      </c>
      <c r="F243" s="21" t="n">
        <v>27.928710156517798</v>
      </c>
      <c r="G243" s="22" t="n">
        <v>18453837.265415501</v>
      </c>
      <c r="H243" s="23" t="n">
        <v>61.067062721352698</v>
      </c>
      <c r="I243" s="27" t="n">
        <v>1581205.0938337799</v>
      </c>
      <c r="J243" s="28" t="n">
        <v>5.2324917171255603</v>
      </c>
      <c r="K243" s="24" t="str">
        <f>=HYPERLINK("https://ucloud.univie.ac.at/index.php/f/1556102618","Open Cytogram")</f>
      </c>
      <c r="L243" s="15" t="s">
        <v>314</v>
      </c>
      <c r="M243" s="25" t="s">
        <v>14</v>
      </c>
      <c r="N243" s="25" t="s">
        <v>314</v>
      </c>
      <c r="O243" s="25" t="s">
        <v>202</v>
      </c>
    </row>
    <row r="244">
      <c r="A244" s="17" t="s">
        <v>281</v>
      </c>
      <c r="B244" s="18" t="n">
        <v>46195</v>
      </c>
      <c r="C244" s="18" t="n">
        <v>46184</v>
      </c>
      <c r="D244" s="19" t="n">
        <f t="shared" si="98"/>
        <v>11</v>
      </c>
      <c r="E244" s="20" t="n">
        <v>3595501.42098463</v>
      </c>
      <c r="F244" s="21" t="n">
        <v>14.6349131494144</v>
      </c>
      <c r="G244" s="22" t="n">
        <v>19280280.981771201</v>
      </c>
      <c r="H244" s="23" t="n">
        <v>78.477298331106397</v>
      </c>
      <c r="I244" s="27" t="n">
        <v>1217810.3631405199</v>
      </c>
      <c r="J244" s="28" t="n">
        <v>4.9569021981188897</v>
      </c>
      <c r="K244" s="24" t="str">
        <f>=HYPERLINK("https://ucloud.univie.ac.at/index.php/f/1552579888","Open Cytogram")</f>
      </c>
      <c r="L244" s="15" t="s">
        <v>314</v>
      </c>
      <c r="M244" s="16" t="s">
        <v>14</v>
      </c>
      <c r="N244" s="16" t="s">
        <v>314</v>
      </c>
      <c r="O244" s="16" t="s">
        <v>218</v>
      </c>
    </row>
    <row r="245">
      <c r="A245" s="2" t="s">
        <v>282</v>
      </c>
      <c r="B245" s="3" t="n">
        <v>46204</v>
      </c>
      <c r="C245" s="3" t="n">
        <v>46199</v>
      </c>
      <c r="D245" s="4" t="n">
        <f t="shared" si="98"/>
        <v>5</v>
      </c>
      <c r="E245" s="5" t="n">
        <v>13295385.3441236</v>
      </c>
      <c r="F245" s="6" t="n">
        <v>50.545115478410601</v>
      </c>
      <c r="G245" s="7" t="n">
        <v>8719574.1826911308</v>
      </c>
      <c r="H245" s="8" t="n">
        <v>33.149237316501697</v>
      </c>
      <c r="I245" s="12" t="n">
        <v>2123765.0209122198</v>
      </c>
      <c r="J245" s="13" t="n">
        <v>8.0739253096160297</v>
      </c>
      <c r="K245" s="14" t="str">
        <f>=HYPERLINK("https://ucloud.univie.ac.at/index.php/f/1543029432","Open Cytogram")</f>
      </c>
      <c r="L245" s="9" t="s">
        <v>314</v>
      </c>
      <c r="M245" t="s">
        <v>14</v>
      </c>
      <c r="N245" t="s">
        <v>314</v>
      </c>
      <c r="O245" t="s">
        <v>200</v>
      </c>
    </row>
    <row r="246">
      <c r="A246" s="2" t="s">
        <v>314</v>
      </c>
      <c r="B246" s="3" t="n">
        <v>46211</v>
      </c>
      <c r="C246" s="3" t="n">
        <v>46199</v>
      </c>
      <c r="D246" s="4" t="n">
        <f t="shared" si="98"/>
        <v>12</v>
      </c>
      <c r="E246" s="5" t="n">
        <v>11930147.208342399</v>
      </c>
      <c r="F246" s="6" t="n">
        <v>35.472023308779796</v>
      </c>
      <c r="G246" s="7" t="n">
        <v>18643270.301977001</v>
      </c>
      <c r="H246" s="8" t="n">
        <v>55.432217822188498</v>
      </c>
      <c r="I246" s="12" t="n">
        <v>2513970.7473386899</v>
      </c>
      <c r="J246" s="13" t="n">
        <v>7.4748137964995802</v>
      </c>
      <c r="K246" s="14" t="str">
        <f>=HYPERLINK("https://ucloud.univie.ac.at/index.php/f/1547934963","Open Cytogram")</f>
      </c>
      <c r="L246" s="9" t="s">
        <v>314</v>
      </c>
      <c r="M246" s="10" t="s">
        <v>14</v>
      </c>
      <c r="N246" s="10" t="s">
        <v>314</v>
      </c>
      <c r="O246" s="10" t="s">
        <v>201</v>
      </c>
    </row>
    <row r="247">
      <c r="A247" s="17" t="s">
        <v>314</v>
      </c>
      <c r="B247" s="18" t="n">
        <v>46224</v>
      </c>
      <c r="C247" s="18" t="n">
        <v>46199</v>
      </c>
      <c r="D247" s="19" t="n">
        <f t="shared" si="98"/>
        <v>25</v>
      </c>
      <c r="E247" s="20" t="n">
        <v>4773581.3741154997</v>
      </c>
      <c r="F247" s="21" t="n">
        <v>44.242001569174398</v>
      </c>
      <c r="G247" s="22" t="n">
        <v>3033458.1145857102</v>
      </c>
      <c r="H247" s="23" t="n">
        <v>28.114375381396599</v>
      </c>
      <c r="I247" s="27" t="n">
        <v>2521767.8155672201</v>
      </c>
      <c r="J247" s="28" t="n">
        <v>23.371981518612198</v>
      </c>
      <c r="K247" s="24" t="str">
        <f>=HYPERLINK("https://ucloud.univie.ac.at/index.php/f/1556102618","Open Cytogram")</f>
      </c>
      <c r="L247" s="15" t="s">
        <v>314</v>
      </c>
      <c r="M247" s="25" t="s">
        <v>14</v>
      </c>
      <c r="N247" s="25" t="s">
        <v>314</v>
      </c>
      <c r="O247" s="25" t="s">
        <v>202</v>
      </c>
    </row>
    <row r="248">
      <c r="A248" s="2" t="s">
        <v>134</v>
      </c>
      <c r="B248" s="3" t="n">
        <v>46211</v>
      </c>
      <c r="C248" s="3" t="n">
        <v>46199</v>
      </c>
      <c r="D248" s="4" t="n">
        <f t="shared" si="98"/>
        <v>12</v>
      </c>
      <c r="E248" s="5" t="n">
        <v>11515407.592874199</v>
      </c>
      <c r="F248" s="6" t="n">
        <v>34.949524567502998</v>
      </c>
      <c r="G248" s="7" t="n">
        <v>18186435.650662601</v>
      </c>
      <c r="H248" s="8" t="n">
        <v>55.196246806015203</v>
      </c>
      <c r="I248" s="12" t="n">
        <v>2659578.1664132099</v>
      </c>
      <c r="J248" s="13" t="n">
        <v>8.0718803669417305</v>
      </c>
      <c r="K248" s="14" t="str">
        <f>=HYPERLINK("https://ucloud.univie.ac.at/index.php/f/1547934963","Open Cytogram")</f>
      </c>
      <c r="L248" s="9" t="s">
        <v>314</v>
      </c>
      <c r="M248" s="10" t="s">
        <v>14</v>
      </c>
      <c r="N248" s="10" t="s">
        <v>314</v>
      </c>
      <c r="O248" s="10" t="s">
        <v>201</v>
      </c>
    </row>
    <row r="249">
      <c r="A249" s="17" t="s">
        <v>314</v>
      </c>
      <c r="B249" s="18" t="n">
        <v>46224</v>
      </c>
      <c r="C249" s="18" t="n">
        <v>46199</v>
      </c>
      <c r="D249" s="19" t="n">
        <f t="shared" si="98"/>
        <v>25</v>
      </c>
      <c r="E249" s="20" t="n">
        <v>12135713.6726775</v>
      </c>
      <c r="F249" s="21" t="n">
        <v>61.705485676024701</v>
      </c>
      <c r="G249" s="22" t="n">
        <v>3061676.32960511</v>
      </c>
      <c r="H249" s="23" t="n">
        <v>15.567458988952099</v>
      </c>
      <c r="I249" s="27" t="n">
        <v>3658021.2736818101</v>
      </c>
      <c r="J249" s="28" t="n">
        <v>18.599646085417799</v>
      </c>
      <c r="K249" s="24" t="str">
        <f>=HYPERLINK("https://ucloud.univie.ac.at/index.php/f/1556102618","Open Cytogram")</f>
      </c>
      <c r="L249" s="15" t="s">
        <v>314</v>
      </c>
      <c r="M249" s="25" t="s">
        <v>14</v>
      </c>
      <c r="N249" s="25" t="s">
        <v>314</v>
      </c>
      <c r="O249" s="25" t="s">
        <v>202</v>
      </c>
    </row>
    <row r="250">
      <c r="A250" s="2" t="s">
        <v>283</v>
      </c>
      <c r="B250" s="3" t="n">
        <v>46224</v>
      </c>
      <c r="C250" s="3"/>
      <c r="D250" s="4" t="str">
        <f t="shared" si="98"/>
        <v/>
      </c>
      <c r="E250" s="5" t="n">
        <v>5193119.4369973196</v>
      </c>
      <c r="F250" s="6" t="n">
        <v>45.637135922330103</v>
      </c>
      <c r="G250" s="7" t="n">
        <v>4463969.8391420897</v>
      </c>
      <c r="H250" s="8" t="n">
        <v>39.229368932038803</v>
      </c>
      <c r="I250" s="12" t="n">
        <v>1278773.7265415599</v>
      </c>
      <c r="J250" s="13" t="n">
        <v>11.237864077669901</v>
      </c>
      <c r="K250" s="14" t="str">
        <f>=HYPERLINK("https://ucloud.univie.ac.at/index.php/f/1556102618","Open Cytogram")</f>
      </c>
      <c r="L250" s="9" t="s">
        <v>314</v>
      </c>
      <c r="M250" s="10" t="s">
        <v>14</v>
      </c>
      <c r="N250" s="10" t="s">
        <v>314</v>
      </c>
      <c r="O250" s="10" t="s">
        <v>202</v>
      </c>
    </row>
    <row r="251">
      <c r="A251" s="17" t="s">
        <v>314</v>
      </c>
      <c r="B251" s="18" t="n">
        <v>46231</v>
      </c>
      <c r="C251" s="18"/>
      <c r="D251" s="19" t="str">
        <f t="shared" si="98"/>
        <v/>
      </c>
      <c r="E251" s="20" t="n">
        <v>2377049.71500612</v>
      </c>
      <c r="F251" s="21" t="n">
        <v>11.2142370572207</v>
      </c>
      <c r="G251" s="22" t="n">
        <v>14391348.445407201</v>
      </c>
      <c r="H251" s="23" t="n">
        <v>67.894243869209802</v>
      </c>
      <c r="I251" s="27" t="n">
        <v>3585428.4425661699</v>
      </c>
      <c r="J251" s="28" t="n">
        <v>16.9150204359673</v>
      </c>
      <c r="K251" s="24" t="str">
        <f>=HYPERLINK("https://ucloud.univie.ac.at/index.php/f/1563063010","Open Cytogram")</f>
      </c>
      <c r="L251" s="15" t="s">
        <v>314</v>
      </c>
      <c r="M251" s="25" t="s">
        <v>14</v>
      </c>
      <c r="N251" s="25" t="s">
        <v>314</v>
      </c>
      <c r="O251" s="25" t="s">
        <v>204</v>
      </c>
    </row>
    <row r="252">
      <c r="A252" s="2" t="s">
        <v>284</v>
      </c>
      <c r="B252" s="3" t="n">
        <v>46224</v>
      </c>
      <c r="C252" s="3"/>
      <c r="D252" s="4" t="str">
        <f t="shared" si="98"/>
        <v/>
      </c>
      <c r="E252" s="5" t="n">
        <v>6247512.8052955996</v>
      </c>
      <c r="F252" s="6" t="n">
        <v>31.583452211127</v>
      </c>
      <c r="G252" s="7" t="n">
        <v>11339960.009130299</v>
      </c>
      <c r="H252" s="8" t="n">
        <v>57.327627199239203</v>
      </c>
      <c r="I252" s="12" t="n">
        <v>1618784.9349463601</v>
      </c>
      <c r="J252" s="13" t="n">
        <v>8.1835473133618599</v>
      </c>
      <c r="K252" s="14" t="str">
        <f>=HYPERLINK("https://ucloud.univie.ac.at/index.php/f/1556102618","Open Cytogram")</f>
      </c>
      <c r="L252" s="9" t="s">
        <v>314</v>
      </c>
      <c r="M252" s="10" t="s">
        <v>14</v>
      </c>
      <c r="N252" s="10" t="s">
        <v>314</v>
      </c>
      <c r="O252" s="10" t="s">
        <v>202</v>
      </c>
    </row>
    <row r="253">
      <c r="A253" s="2" t="s">
        <v>314</v>
      </c>
      <c r="B253" s="3" t="n">
        <v>46231</v>
      </c>
      <c r="C253" s="3"/>
      <c r="D253" s="4" t="str">
        <f t="shared" si="98"/>
        <v/>
      </c>
      <c r="E253" s="5" t="n">
        <v>2063599.2210759299</v>
      </c>
      <c r="F253" s="6" t="n">
        <v>23.478677527551501</v>
      </c>
      <c r="G253" s="7" t="n">
        <v>3671161.0632668599</v>
      </c>
      <c r="H253" s="8" t="n">
        <v>41.768772674378802</v>
      </c>
      <c r="I253" s="12" t="n">
        <v>2430595.0009174198</v>
      </c>
      <c r="J253" s="13" t="n">
        <v>27.654185775891602</v>
      </c>
      <c r="K253" s="14" t="str">
        <f>=HYPERLINK("https://ucloud.univie.ac.at/index.php/f/1563063010","Open Cytogram")</f>
      </c>
      <c r="L253" s="9" t="s">
        <v>314</v>
      </c>
      <c r="M253" t="s">
        <v>14</v>
      </c>
      <c r="N253" t="s">
        <v>314</v>
      </c>
      <c r="O253" t="s">
        <v>204</v>
      </c>
    </row>
    <row r="254">
      <c r="A254" s="17" t="s">
        <v>314</v>
      </c>
      <c r="B254" s="18" t="n">
        <v>46238</v>
      </c>
      <c r="C254" s="18"/>
      <c r="D254" s="19" t="str">
        <f t="shared" si="98"/>
        <v/>
      </c>
      <c r="E254" s="20" t="n">
        <v>12504663.0157081</v>
      </c>
      <c r="F254" s="21" t="n">
        <v>45.916505075852598</v>
      </c>
      <c r="G254" s="22" t="n">
        <v>9078344.9666890595</v>
      </c>
      <c r="H254" s="23" t="n">
        <v>33.3352344017338</v>
      </c>
      <c r="I254" s="27" t="n">
        <v>4476268.6388362497</v>
      </c>
      <c r="J254" s="28" t="n">
        <v>16.436637390213299</v>
      </c>
      <c r="K254" s="24" t="str">
        <f>=HYPERLINK("https://ucloud.univie.ac.at/index.php/f/1567856234","Open Cytogram")</f>
      </c>
      <c r="L254" s="15" t="s">
        <v>314</v>
      </c>
      <c r="M254" s="16" t="s">
        <v>14</v>
      </c>
      <c r="N254" s="16" t="s">
        <v>314</v>
      </c>
      <c r="O254" s="16" t="s">
        <v>206</v>
      </c>
    </row>
    <row r="255">
      <c r="A255" s="2" t="s">
        <v>285</v>
      </c>
      <c r="B255" s="3" t="n">
        <v>46224</v>
      </c>
      <c r="C255" s="3"/>
      <c r="D255" s="4" t="str">
        <f t="shared" si="98"/>
        <v/>
      </c>
      <c r="E255" s="5" t="n">
        <v>1909432.5496461999</v>
      </c>
      <c r="F255" s="6" t="n">
        <v>36.7953597969911</v>
      </c>
      <c r="G255" s="7" t="n">
        <v>1928244.69299247</v>
      </c>
      <c r="H255" s="8" t="n">
        <v>37.157875657060004</v>
      </c>
      <c r="I255" s="12" t="n">
        <v>959419.31065966701</v>
      </c>
      <c r="J255" s="13" t="n">
        <v>18.488308863512799</v>
      </c>
      <c r="K255" s="14" t="str">
        <f>=HYPERLINK("https://ucloud.univie.ac.at/index.php/f/1556102618","Open Cytogram")</f>
      </c>
      <c r="L255" s="9" t="s">
        <v>314</v>
      </c>
      <c r="M255" t="s">
        <v>14</v>
      </c>
      <c r="N255" t="s">
        <v>314</v>
      </c>
      <c r="O255" t="s">
        <v>202</v>
      </c>
    </row>
    <row r="256">
      <c r="A256" s="2" t="s">
        <v>314</v>
      </c>
      <c r="B256" s="3" t="n">
        <v>46231</v>
      </c>
      <c r="C256" s="3"/>
      <c r="D256" s="4" t="str">
        <f t="shared" si="98"/>
        <v/>
      </c>
      <c r="E256" s="5" t="n">
        <v>4412071.3958484801</v>
      </c>
      <c r="F256" s="6" t="n">
        <v>17.926154071792599</v>
      </c>
      <c r="G256" s="7" t="n">
        <v>14119711.4050819</v>
      </c>
      <c r="H256" s="8" t="n">
        <v>57.368092985736801</v>
      </c>
      <c r="I256" s="12" t="n">
        <v>4962565.0656107198</v>
      </c>
      <c r="J256" s="13" t="n">
        <v>20.162798372016301</v>
      </c>
      <c r="K256" s="14" t="str">
        <f>=HYPERLINK("https://ucloud.univie.ac.at/index.php/f/1563063010","Open Cytogram")</f>
      </c>
      <c r="L256" s="9" t="s">
        <v>314</v>
      </c>
      <c r="M256" s="10" t="s">
        <v>14</v>
      </c>
      <c r="N256" s="10" t="s">
        <v>314</v>
      </c>
      <c r="O256" s="10" t="s">
        <v>204</v>
      </c>
    </row>
    <row r="257">
      <c r="A257" s="17" t="s">
        <v>314</v>
      </c>
      <c r="B257" s="18" t="n">
        <v>46238</v>
      </c>
      <c r="C257" s="18"/>
      <c r="D257" s="19" t="str">
        <f t="shared" si="98"/>
        <v/>
      </c>
      <c r="E257" s="20" t="n">
        <v>11164267.5142106</v>
      </c>
      <c r="F257" s="21" t="n">
        <v>52.0096957418328</v>
      </c>
      <c r="G257" s="22" t="n">
        <v>5455549.4774158001</v>
      </c>
      <c r="H257" s="23" t="n">
        <v>25.4151441698925</v>
      </c>
      <c r="I257" s="27" t="n">
        <v>3493881.4375649299</v>
      </c>
      <c r="J257" s="28" t="n">
        <v>16.2765457110814</v>
      </c>
      <c r="K257" s="24" t="str">
        <f>=HYPERLINK("https://ucloud.univie.ac.at/index.php/f/1567856234","Open Cytogram")</f>
      </c>
      <c r="L257" s="24" t="str">
        <f>=HYPERLINK("https://ucloud.univie.ac.at/index.php/f/1568323194","Open Microscopy")</f>
      </c>
      <c r="M257" s="29" t="s">
        <v>286</v>
      </c>
      <c r="N257" s="25" t="s">
        <v>314</v>
      </c>
      <c r="O257" s="25" t="s">
        <v>206</v>
      </c>
    </row>
    <row r="258">
      <c r="A258" s="17" t="s">
        <v>287</v>
      </c>
      <c r="B258" s="18" t="n">
        <v>46238</v>
      </c>
      <c r="C258" s="18"/>
      <c r="D258" s="19" t="str">
        <f t="shared" ref="D258:D306" si="108">IF(OR(C258="",B258=""),"",B258-C258)</f>
        <v/>
      </c>
      <c r="E258" s="20" t="n">
        <v>4578002.01699162</v>
      </c>
      <c r="F258" s="21" t="n">
        <v>23.819144207846801</v>
      </c>
      <c r="G258" s="22" t="n">
        <v>8225648.4077990204</v>
      </c>
      <c r="H258" s="23" t="n">
        <v>42.7976887955069</v>
      </c>
      <c r="I258" s="27" t="n">
        <v>5515346.9592323098</v>
      </c>
      <c r="J258" s="28" t="n">
        <v>28.696108933694301</v>
      </c>
      <c r="K258" s="24" t="str">
        <f>=HYPERLINK("https://ucloud.univie.ac.at/index.php/f/1567856234","Open Cytogram")</f>
      </c>
      <c r="L258" s="15" t="s">
        <v>314</v>
      </c>
      <c r="M258" s="16" t="s">
        <v>14</v>
      </c>
      <c r="N258" s="16" t="s">
        <v>314</v>
      </c>
      <c r="O258" s="16" t="s">
        <v>206</v>
      </c>
    </row>
    <row r="259">
      <c r="A259" s="17" t="s">
        <v>288</v>
      </c>
      <c r="B259" s="18" t="n">
        <v>46238</v>
      </c>
      <c r="C259" s="18"/>
      <c r="D259" s="19" t="str">
        <f t="shared" si="108"/>
        <v/>
      </c>
      <c r="E259" s="20" t="n">
        <v>1249534.3927632801</v>
      </c>
      <c r="F259" s="21" t="n">
        <v>19.3273273273273</v>
      </c>
      <c r="G259" s="22" t="n">
        <v>1924391.68754966</v>
      </c>
      <c r="H259" s="23" t="n">
        <v>29.765765765765799</v>
      </c>
      <c r="I259" s="27" t="n">
        <v>2725056.6713526002</v>
      </c>
      <c r="J259" s="28" t="n">
        <v>42.150150150150203</v>
      </c>
      <c r="K259" s="24" t="str">
        <f>=HYPERLINK("https://ucloud.univie.ac.at/index.php/f/1567856234","Open Cytogram")</f>
      </c>
      <c r="L259" s="15" t="s">
        <v>314</v>
      </c>
      <c r="M259" s="25" t="s">
        <v>14</v>
      </c>
      <c r="N259" s="25" t="s">
        <v>314</v>
      </c>
      <c r="O259" s="25" t="s">
        <v>206</v>
      </c>
    </row>
    <row r="260">
      <c r="A260" s="2" t="s">
        <v>289</v>
      </c>
      <c r="B260" s="3" t="n">
        <v>46142</v>
      </c>
      <c r="C260" s="3" t="n">
        <v>46136</v>
      </c>
      <c r="D260" s="4" t="n">
        <f t="shared" si="108"/>
        <v>6</v>
      </c>
      <c r="E260" s="5" t="n">
        <v>25367.003171843098</v>
      </c>
      <c r="F260" s="6" t="n">
        <v>6.9898534385569304</v>
      </c>
      <c r="G260" s="7" t="n">
        <v>22502.986684699499</v>
      </c>
      <c r="H260" s="8" t="n">
        <v>6.2006764374295402</v>
      </c>
      <c r="I260" s="12" t="n">
        <v>3886.8795182662898</v>
      </c>
      <c r="J260" s="13" t="n">
        <v>1.07102593010147</v>
      </c>
      <c r="K260" s="14" t="str">
        <f>=HYPERLINK("https://ucloud.univie.ac.at/index.php/f/1514656058","Open Cytogram")</f>
      </c>
      <c r="L260" s="9" t="s">
        <v>314</v>
      </c>
      <c r="M260" s="10" t="s">
        <v>14</v>
      </c>
      <c r="N260" s="10" t="s">
        <v>314</v>
      </c>
      <c r="O260" s="10" t="s">
        <v>178</v>
      </c>
    </row>
    <row r="261">
      <c r="A261" s="2" t="s">
        <v>314</v>
      </c>
      <c r="B261" s="3" t="n">
        <v>46153</v>
      </c>
      <c r="C261" s="3" t="n">
        <v>46147</v>
      </c>
      <c r="D261" s="4" t="n">
        <f t="shared" si="108"/>
        <v>6</v>
      </c>
      <c r="E261" s="5" t="n">
        <v>296221.13381313602</v>
      </c>
      <c r="F261" s="6" t="n">
        <v>32.517403997305202</v>
      </c>
      <c r="G261" s="7" t="n">
        <v>201094.87191872401</v>
      </c>
      <c r="H261" s="8" t="n">
        <v>22.075005614192701</v>
      </c>
      <c r="I261" s="12" t="n">
        <v>151792.87381861001</v>
      </c>
      <c r="J261" s="13" t="n">
        <v>16.662923871547299</v>
      </c>
      <c r="K261" s="14" t="str">
        <f>=HYPERLINK("https://ucloud.univie.ac.at/index.php/f/1514656058","Open Cytogram")</f>
      </c>
      <c r="L261" s="9" t="s">
        <v>314</v>
      </c>
      <c r="M261" t="s">
        <v>14</v>
      </c>
      <c r="N261" t="s">
        <v>314</v>
      </c>
      <c r="O261" t="s">
        <v>178</v>
      </c>
    </row>
    <row r="262">
      <c r="A262" s="17" t="s">
        <v>314</v>
      </c>
      <c r="B262" s="18" t="n">
        <v>46160</v>
      </c>
      <c r="C262" s="18" t="n">
        <v>46147</v>
      </c>
      <c r="D262" s="19" t="n">
        <f t="shared" si="108"/>
        <v>13</v>
      </c>
      <c r="E262" s="20" t="n">
        <v>451628.644803036</v>
      </c>
      <c r="F262" s="21" t="n">
        <v>28.6291875240662</v>
      </c>
      <c r="G262" s="22" t="n">
        <v>263019.77565529902</v>
      </c>
      <c r="H262" s="23" t="n">
        <v>16.6730843280708</v>
      </c>
      <c r="I262" s="27" t="n">
        <v>360513.249079492</v>
      </c>
      <c r="J262" s="28" t="n">
        <v>22.8532922603003</v>
      </c>
      <c r="K262" s="24" t="str">
        <f>=HYPERLINK("https://ucloud.univie.ac.at/index.php/f/1515117663","Open Cytogram")</f>
      </c>
      <c r="L262" s="15" t="s">
        <v>314</v>
      </c>
      <c r="M262" s="16" t="s">
        <v>14</v>
      </c>
      <c r="N262" s="16" t="s">
        <v>314</v>
      </c>
      <c r="O262" s="16" t="s">
        <v>245</v>
      </c>
    </row>
    <row r="263">
      <c r="A263" s="2" t="s">
        <v>290</v>
      </c>
      <c r="B263" s="3" t="n">
        <v>46142</v>
      </c>
      <c r="C263" s="3" t="n">
        <v>46136</v>
      </c>
      <c r="D263" s="4" t="n">
        <f t="shared" si="108"/>
        <v>6</v>
      </c>
      <c r="E263" s="5" t="n">
        <v>79169.598608897504</v>
      </c>
      <c r="F263" s="6" t="n">
        <v>24.524714828897299</v>
      </c>
      <c r="G263" s="7" t="n">
        <v>43369.392519602799</v>
      </c>
      <c r="H263" s="8" t="n">
        <v>13.434727503168601</v>
      </c>
      <c r="I263" s="12" t="n">
        <v>55030.031074401602</v>
      </c>
      <c r="J263" s="13" t="n">
        <v>17.046894803548799</v>
      </c>
      <c r="K263" s="14" t="str">
        <f>=HYPERLINK("https://ucloud.univie.ac.at/index.php/f/1514656058","Open Cytogram")</f>
      </c>
      <c r="L263" s="9" t="s">
        <v>314</v>
      </c>
      <c r="M263" t="s">
        <v>14</v>
      </c>
      <c r="N263" t="s">
        <v>314</v>
      </c>
      <c r="O263" t="s">
        <v>178</v>
      </c>
    </row>
    <row r="264">
      <c r="A264" s="2" t="s">
        <v>314</v>
      </c>
      <c r="B264" s="3" t="n">
        <v>46153</v>
      </c>
      <c r="C264" s="3" t="n">
        <v>46136</v>
      </c>
      <c r="D264" s="4" t="n">
        <f t="shared" si="108"/>
        <v>17</v>
      </c>
      <c r="E264" s="5" t="n">
        <v>200685.72670627499</v>
      </c>
      <c r="F264" s="6" t="n">
        <v>21.8193950177936</v>
      </c>
      <c r="G264" s="7" t="n">
        <v>120288.69246003</v>
      </c>
      <c r="H264" s="8" t="n">
        <v>13.078291814946599</v>
      </c>
      <c r="I264" s="12" t="n">
        <v>88784.511101450902</v>
      </c>
      <c r="J264" s="13" t="n">
        <v>9.6530249110320305</v>
      </c>
      <c r="K264" s="14" t="str">
        <f>=HYPERLINK("https://ucloud.univie.ac.at/index.php/f/1514656058","Open Cytogram")</f>
      </c>
      <c r="L264" s="9" t="s">
        <v>314</v>
      </c>
      <c r="M264" s="10" t="s">
        <v>14</v>
      </c>
      <c r="N264" s="10" t="s">
        <v>314</v>
      </c>
      <c r="O264" s="10" t="s">
        <v>178</v>
      </c>
    </row>
    <row r="265">
      <c r="A265" s="17" t="s">
        <v>314</v>
      </c>
      <c r="B265" s="18" t="n">
        <v>46160</v>
      </c>
      <c r="C265" s="18" t="n">
        <v>46136</v>
      </c>
      <c r="D265" s="19" t="n">
        <f t="shared" si="108"/>
        <v>24</v>
      </c>
      <c r="E265" s="20" t="n">
        <v>427289.23969767202</v>
      </c>
      <c r="F265" s="21" t="n">
        <v>35.628167045255999</v>
      </c>
      <c r="G265" s="22" t="n">
        <v>271797.02986163902</v>
      </c>
      <c r="H265" s="23" t="n">
        <v>22.662939017997498</v>
      </c>
      <c r="I265" s="27" t="n">
        <v>164084.09744152901</v>
      </c>
      <c r="J265" s="28" t="n">
        <v>13.681635505853601</v>
      </c>
      <c r="K265" s="24" t="str">
        <f>=HYPERLINK("https://ucloud.univie.ac.at/index.php/f/1515117663","Open Cytogram")</f>
      </c>
      <c r="L265" s="15" t="s">
        <v>314</v>
      </c>
      <c r="M265" s="25" t="s">
        <v>14</v>
      </c>
      <c r="N265" s="25" t="s">
        <v>314</v>
      </c>
      <c r="O265" s="25" t="s">
        <v>245</v>
      </c>
    </row>
    <row r="266">
      <c r="A266" s="2" t="s">
        <v>291</v>
      </c>
      <c r="B266" s="3" t="n">
        <v>46142</v>
      </c>
      <c r="C266" s="3" t="n">
        <v>46136</v>
      </c>
      <c r="D266" s="4" t="n">
        <f t="shared" si="108"/>
        <v>6</v>
      </c>
      <c r="E266" s="5" t="n">
        <v>4867228.1518570203</v>
      </c>
      <c r="F266" s="6" t="n">
        <v>41.719989231947999</v>
      </c>
      <c r="G266" s="7" t="n">
        <v>3481975.44809228</v>
      </c>
      <c r="H266" s="8" t="n">
        <v>29.846141102897001</v>
      </c>
      <c r="I266" s="12" t="n">
        <v>1190776.1731524901</v>
      </c>
      <c r="J266" s="13" t="n">
        <v>10.2068708454992</v>
      </c>
      <c r="K266" s="14" t="str">
        <f>=HYPERLINK("https://ucloud.univie.ac.at/index.php/f/1514656058","Open Cytogram")</f>
      </c>
      <c r="L266" s="9" t="s">
        <v>314</v>
      </c>
      <c r="M266" s="10" t="s">
        <v>14</v>
      </c>
      <c r="N266" s="10" t="s">
        <v>314</v>
      </c>
      <c r="O266" s="10" t="s">
        <v>178</v>
      </c>
    </row>
    <row r="267">
      <c r="A267" s="2" t="s">
        <v>314</v>
      </c>
      <c r="B267" s="3" t="n">
        <v>46153</v>
      </c>
      <c r="C267" s="3" t="n">
        <v>46136</v>
      </c>
      <c r="D267" s="4" t="n">
        <f t="shared" si="108"/>
        <v>17</v>
      </c>
      <c r="E267" s="5" t="n">
        <v>3382202.8878072901</v>
      </c>
      <c r="F267" s="6" t="n">
        <v>31.6636752726771</v>
      </c>
      <c r="G267" s="7" t="n">
        <v>2733900.6337390598</v>
      </c>
      <c r="H267" s="8" t="n">
        <v>25.594366975010399</v>
      </c>
      <c r="I267" s="12" t="n">
        <v>2105065.1443516701</v>
      </c>
      <c r="J267" s="13" t="n">
        <v>19.7073036034792</v>
      </c>
      <c r="K267" s="14" t="str">
        <f>=HYPERLINK("https://ucloud.univie.ac.at/index.php/f/1514656058","Open Cytogram")</f>
      </c>
      <c r="L267" s="9" t="s">
        <v>314</v>
      </c>
      <c r="M267" t="s">
        <v>14</v>
      </c>
      <c r="N267" t="s">
        <v>314</v>
      </c>
      <c r="O267" t="s">
        <v>178</v>
      </c>
    </row>
    <row r="268">
      <c r="A268" s="17" t="s">
        <v>314</v>
      </c>
      <c r="B268" s="18" t="n">
        <v>46160</v>
      </c>
      <c r="C268" s="18" t="n">
        <v>46136</v>
      </c>
      <c r="D268" s="19" t="n">
        <f t="shared" si="108"/>
        <v>24</v>
      </c>
      <c r="E268" s="20" t="n">
        <v>5330698.15625434</v>
      </c>
      <c r="F268" s="21" t="n">
        <v>30.738651625033601</v>
      </c>
      <c r="G268" s="22" t="n">
        <v>8323043.9230996603</v>
      </c>
      <c r="H268" s="23" t="n">
        <v>47.993553585817899</v>
      </c>
      <c r="I268" s="27" t="n">
        <v>3036131.64824063</v>
      </c>
      <c r="J268" s="28" t="n">
        <v>17.5073865162503</v>
      </c>
      <c r="K268" s="24" t="str">
        <f>=HYPERLINK("https://ucloud.univie.ac.at/index.php/f/1515117663","Open Cytogram")</f>
      </c>
      <c r="L268" s="15" t="s">
        <v>314</v>
      </c>
      <c r="M268" s="16" t="s">
        <v>14</v>
      </c>
      <c r="N268" s="16" t="s">
        <v>314</v>
      </c>
      <c r="O268" s="16" t="s">
        <v>245</v>
      </c>
    </row>
    <row r="269">
      <c r="A269" s="2" t="s">
        <v>292</v>
      </c>
      <c r="B269" s="3" t="n">
        <v>46181</v>
      </c>
      <c r="C269" s="3" t="n">
        <v>46174</v>
      </c>
      <c r="D269" s="4" t="n">
        <f t="shared" si="108"/>
        <v>7</v>
      </c>
      <c r="E269" s="5" t="n">
        <v>2000249.6620658699</v>
      </c>
      <c r="F269" s="6" t="n">
        <v>25.8353808353808</v>
      </c>
      <c r="G269" s="7" t="n">
        <v>956847.912524138</v>
      </c>
      <c r="H269" s="8" t="n">
        <v>12.3587223587224</v>
      </c>
      <c r="I269" s="12" t="n">
        <v>2211402.9787461399</v>
      </c>
      <c r="J269" s="13" t="n">
        <v>28.562653562653601</v>
      </c>
      <c r="K269" s="14" t="str">
        <f>=HYPERLINK("https://ucloud.univie.ac.at/index.php/f/1518571913","Open Cytogram")</f>
      </c>
      <c r="L269" s="9" t="s">
        <v>314</v>
      </c>
      <c r="M269" t="s">
        <v>14</v>
      </c>
      <c r="N269" t="s">
        <v>314</v>
      </c>
      <c r="O269" t="s">
        <v>183</v>
      </c>
    </row>
    <row r="270">
      <c r="A270" s="2" t="s">
        <v>314</v>
      </c>
      <c r="B270" s="3" t="n">
        <v>46188</v>
      </c>
      <c r="C270" s="3" t="n">
        <v>46174</v>
      </c>
      <c r="D270" s="4" t="n">
        <f t="shared" si="108"/>
        <v>14</v>
      </c>
      <c r="E270" s="5" t="n">
        <v>572104.52371126099</v>
      </c>
      <c r="F270" s="6" t="n">
        <v>57.635149687701897</v>
      </c>
      <c r="G270" s="7" t="n">
        <v>242438.91251441301</v>
      </c>
      <c r="H270" s="8" t="n">
        <v>24.423863881111401</v>
      </c>
      <c r="I270" s="12" t="n">
        <v>123357.365538639</v>
      </c>
      <c r="J270" s="13" t="n">
        <v>12.4273099289253</v>
      </c>
      <c r="K270" s="14" t="str">
        <f>=HYPERLINK("https://ucloud.univie.ac.at/index.php/f/1525440666","Open Cytogram")</f>
      </c>
      <c r="L270" s="9" t="s">
        <v>314</v>
      </c>
      <c r="M270" s="10" t="s">
        <v>14</v>
      </c>
      <c r="N270" s="10" t="s">
        <v>314</v>
      </c>
      <c r="O270" s="10" t="s">
        <v>185</v>
      </c>
    </row>
    <row r="271">
      <c r="A271" s="17" t="s">
        <v>314</v>
      </c>
      <c r="B271" s="18" t="n">
        <v>46196</v>
      </c>
      <c r="C271" s="18" t="n">
        <v>46174</v>
      </c>
      <c r="D271" s="19" t="n">
        <f t="shared" si="108"/>
        <v>22</v>
      </c>
      <c r="E271" s="20" t="n">
        <v>1563098.16723213</v>
      </c>
      <c r="F271" s="21" t="n">
        <v>55.013452914798201</v>
      </c>
      <c r="G271" s="22" t="n">
        <v>270624.42999682401</v>
      </c>
      <c r="H271" s="23" t="n">
        <v>9.5246636771300395</v>
      </c>
      <c r="I271" s="27" t="n">
        <v>627379.79910751595</v>
      </c>
      <c r="J271" s="28" t="n">
        <v>22.080717488789201</v>
      </c>
      <c r="K271" s="24" t="str">
        <f>=HYPERLINK("https://ucloud.univie.ac.at/index.php/f/1543029432","Open Cytogram")</f>
      </c>
      <c r="L271" s="15" t="s">
        <v>314</v>
      </c>
      <c r="M271" s="25" t="s">
        <v>14</v>
      </c>
      <c r="N271" s="25" t="s">
        <v>314</v>
      </c>
      <c r="O271" s="25" t="s">
        <v>200</v>
      </c>
    </row>
    <row r="272">
      <c r="A272" s="2" t="s">
        <v>293</v>
      </c>
      <c r="B272" s="3" t="n">
        <v>46181</v>
      </c>
      <c r="C272" s="3" t="n">
        <v>46174</v>
      </c>
      <c r="D272" s="4" t="n">
        <f t="shared" si="108"/>
        <v>7</v>
      </c>
      <c r="E272" s="5" t="n">
        <v>307249.50866842002</v>
      </c>
      <c r="F272" s="6" t="n">
        <v>24.942263279445701</v>
      </c>
      <c r="G272" s="7" t="n">
        <v>173757.91302188399</v>
      </c>
      <c r="H272" s="8" t="n">
        <v>14.105524960028401</v>
      </c>
      <c r="I272" s="12" t="n">
        <v>393690.78781658597</v>
      </c>
      <c r="J272" s="13" t="n">
        <v>31.9594954698881</v>
      </c>
      <c r="K272" s="14" t="str">
        <f>=HYPERLINK("https://ucloud.univie.ac.at/index.php/f/1518571913","Open Cytogram")</f>
      </c>
      <c r="L272" s="9" t="s">
        <v>314</v>
      </c>
      <c r="M272" s="10" t="s">
        <v>14</v>
      </c>
      <c r="N272" s="10" t="s">
        <v>314</v>
      </c>
      <c r="O272" s="10" t="s">
        <v>183</v>
      </c>
    </row>
    <row r="273">
      <c r="A273" s="2" t="s">
        <v>314</v>
      </c>
      <c r="B273" s="3" t="n">
        <v>46188</v>
      </c>
      <c r="C273" s="3" t="n">
        <v>46174</v>
      </c>
      <c r="D273" s="4" t="n">
        <f t="shared" si="108"/>
        <v>14</v>
      </c>
      <c r="E273" s="5" t="n">
        <v>279765.638623918</v>
      </c>
      <c r="F273" s="6" t="n">
        <v>60.435339308578797</v>
      </c>
      <c r="G273" s="7" t="n">
        <v>77646.819194350101</v>
      </c>
      <c r="H273" s="8" t="n">
        <v>16.773367477592799</v>
      </c>
      <c r="I273" s="12" t="n">
        <v>68360.812827595801</v>
      </c>
      <c r="J273" s="13" t="n">
        <v>14.767392232181001</v>
      </c>
      <c r="K273" s="14" t="str">
        <f>=HYPERLINK("https://ucloud.univie.ac.at/index.php/f/1525440666","Open Cytogram")</f>
      </c>
      <c r="L273" s="9" t="s">
        <v>314</v>
      </c>
      <c r="M273" t="s">
        <v>14</v>
      </c>
      <c r="N273" t="s">
        <v>314</v>
      </c>
      <c r="O273" t="s">
        <v>185</v>
      </c>
    </row>
    <row r="274">
      <c r="A274" s="17" t="s">
        <v>314</v>
      </c>
      <c r="B274" s="18" t="n">
        <v>46196</v>
      </c>
      <c r="C274" s="18" t="n">
        <v>46174</v>
      </c>
      <c r="D274" s="19" t="n">
        <f t="shared" si="108"/>
        <v>22</v>
      </c>
      <c r="E274" s="20" t="n">
        <v>230759.983197063</v>
      </c>
      <c r="F274" s="21" t="n">
        <v>46.782085058336499</v>
      </c>
      <c r="G274" s="22" t="n">
        <v>8911.0854331931005</v>
      </c>
      <c r="H274" s="23" t="n">
        <v>1.8065487391795301</v>
      </c>
      <c r="I274" s="27" t="n">
        <v>134130.40053087499</v>
      </c>
      <c r="J274" s="28" t="n">
        <v>27.192322167858499</v>
      </c>
      <c r="K274" s="24" t="str">
        <f>=HYPERLINK("https://ucloud.univie.ac.at/index.php/f/1537345796","Open Cytogram")</f>
      </c>
      <c r="L274" s="15" t="s">
        <v>314</v>
      </c>
      <c r="M274" s="16" t="s">
        <v>14</v>
      </c>
      <c r="N274" s="16" t="s">
        <v>314</v>
      </c>
      <c r="O274" s="16" t="s">
        <v>192</v>
      </c>
    </row>
    <row r="275">
      <c r="A275" s="2" t="s">
        <v>294</v>
      </c>
      <c r="B275" s="3" t="n">
        <v>46181</v>
      </c>
      <c r="C275" s="3" t="n">
        <v>46174</v>
      </c>
      <c r="D275" s="4" t="n">
        <f t="shared" si="108"/>
        <v>7</v>
      </c>
      <c r="E275" s="5" t="n">
        <v>1473222.0031806601</v>
      </c>
      <c r="F275" s="6" t="n">
        <v>20.321485170930501</v>
      </c>
      <c r="G275" s="7" t="n">
        <v>1917026.8490586099</v>
      </c>
      <c r="H275" s="8" t="n">
        <v>26.443287299071802</v>
      </c>
      <c r="I275" s="12" t="n">
        <v>3032775.8661733698</v>
      </c>
      <c r="J275" s="13" t="n">
        <v>41.833823862350002</v>
      </c>
      <c r="K275" s="14" t="str">
        <f>=HYPERLINK("https://ucloud.univie.ac.at/index.php/f/1518571913","Open Cytogram")</f>
      </c>
      <c r="L275" s="9" t="s">
        <v>314</v>
      </c>
      <c r="M275" t="s">
        <v>14</v>
      </c>
      <c r="N275" t="s">
        <v>314</v>
      </c>
      <c r="O275" t="s">
        <v>183</v>
      </c>
    </row>
    <row r="276">
      <c r="A276" s="17" t="s">
        <v>314</v>
      </c>
      <c r="B276" s="18" t="n">
        <v>46188</v>
      </c>
      <c r="C276" s="18" t="n">
        <v>46174</v>
      </c>
      <c r="D276" s="19" t="n">
        <f t="shared" si="108"/>
        <v>14</v>
      </c>
      <c r="E276" s="20" t="n">
        <v>2728314.5864940099</v>
      </c>
      <c r="F276" s="21" t="n">
        <v>21.6397714743911</v>
      </c>
      <c r="G276" s="22" t="n">
        <v>5941045.0714700501</v>
      </c>
      <c r="H276" s="23" t="n">
        <v>47.1217132738632</v>
      </c>
      <c r="I276" s="27" t="n">
        <v>3838680.0720580402</v>
      </c>
      <c r="J276" s="28" t="n">
        <v>30.446694063011599</v>
      </c>
      <c r="K276" s="24" t="str">
        <f>=HYPERLINK("https://ucloud.univie.ac.at/index.php/f/1525440666","Open Cytogram")</f>
      </c>
      <c r="L276" s="15" t="s">
        <v>314</v>
      </c>
      <c r="M276" s="16" t="s">
        <v>14</v>
      </c>
      <c r="N276" s="16" t="s">
        <v>314</v>
      </c>
      <c r="O276" s="16" t="s">
        <v>185</v>
      </c>
    </row>
    <row r="277">
      <c r="A277" s="2" t="s">
        <v>295</v>
      </c>
      <c r="B277" s="3" t="n">
        <v>46204</v>
      </c>
      <c r="C277" s="3" t="n">
        <v>46197</v>
      </c>
      <c r="D277" s="4" t="n">
        <f t="shared" si="108"/>
        <v>7</v>
      </c>
      <c r="E277" s="5" t="n">
        <v>592422.23257175495</v>
      </c>
      <c r="F277" s="6" t="n">
        <v>43.076923076923102</v>
      </c>
      <c r="G277" s="7" t="n">
        <v>177089.03331768201</v>
      </c>
      <c r="H277" s="8" t="n">
        <v>12.8767123287671</v>
      </c>
      <c r="I277" s="12" t="n">
        <v>347511.86734517402</v>
      </c>
      <c r="J277" s="13" t="n">
        <v>25.268703898840901</v>
      </c>
      <c r="K277" s="14" t="str">
        <f>=HYPERLINK("https://ucloud.univie.ac.at/index.php/f/1543029432","Open Cytogram")</f>
      </c>
      <c r="L277" s="9" t="s">
        <v>314</v>
      </c>
      <c r="M277" t="s">
        <v>14</v>
      </c>
      <c r="N277" t="s">
        <v>314</v>
      </c>
      <c r="O277" t="s">
        <v>200</v>
      </c>
    </row>
    <row r="278">
      <c r="A278" s="2" t="s">
        <v>314</v>
      </c>
      <c r="B278" s="3" t="n">
        <v>46211</v>
      </c>
      <c r="C278" s="3" t="n">
        <v>46197</v>
      </c>
      <c r="D278" s="4" t="n">
        <f t="shared" si="108"/>
        <v>14</v>
      </c>
      <c r="E278" s="5" t="n">
        <v>384318.18350400799</v>
      </c>
      <c r="F278" s="6" t="n">
        <v>32.101465121364498</v>
      </c>
      <c r="G278" s="7" t="n">
        <v>279599.33241299703</v>
      </c>
      <c r="H278" s="8" t="n">
        <v>23.354471900284299</v>
      </c>
      <c r="I278" s="12" t="n">
        <v>240067.96612614099</v>
      </c>
      <c r="J278" s="13" t="n">
        <v>20.052481959326499</v>
      </c>
      <c r="K278" s="14" t="str">
        <f>=HYPERLINK("https://ucloud.univie.ac.at/index.php/f/1547934963","Open Cytogram")</f>
      </c>
      <c r="L278" s="9" t="s">
        <v>314</v>
      </c>
      <c r="M278" s="10" t="s">
        <v>14</v>
      </c>
      <c r="N278" s="10" t="s">
        <v>314</v>
      </c>
      <c r="O278" s="10" t="s">
        <v>201</v>
      </c>
    </row>
    <row r="279">
      <c r="A279" s="17" t="s">
        <v>314</v>
      </c>
      <c r="B279" s="18" t="n">
        <v>46218</v>
      </c>
      <c r="C279" s="18" t="n">
        <v>46197</v>
      </c>
      <c r="D279" s="19" t="n">
        <f t="shared" si="108"/>
        <v>21</v>
      </c>
      <c r="E279" s="20" t="n">
        <v>588602.98224933504</v>
      </c>
      <c r="F279" s="21" t="n">
        <v>35.194143025232101</v>
      </c>
      <c r="G279" s="22" t="n">
        <v>225645.71979246399</v>
      </c>
      <c r="H279" s="23" t="n">
        <v>13.491959733298501</v>
      </c>
      <c r="I279" s="27" t="n">
        <v>514262.33813166298</v>
      </c>
      <c r="J279" s="28" t="n">
        <v>30.749117531703501</v>
      </c>
      <c r="K279" s="24" t="str">
        <f>=HYPERLINK("https://ucloud.univie.ac.at/index.php/f/1552579888","Open Cytogram")</f>
      </c>
      <c r="L279" s="15" t="s">
        <v>314</v>
      </c>
      <c r="M279" s="25" t="s">
        <v>14</v>
      </c>
      <c r="N279" s="25" t="s">
        <v>314</v>
      </c>
      <c r="O279" s="25" t="s">
        <v>218</v>
      </c>
    </row>
    <row r="280">
      <c r="A280" s="2" t="s">
        <v>296</v>
      </c>
      <c r="B280" s="3" t="n">
        <v>46204</v>
      </c>
      <c r="C280" s="3" t="n">
        <v>46197</v>
      </c>
      <c r="D280" s="4" t="n">
        <f t="shared" si="108"/>
        <v>7</v>
      </c>
      <c r="E280" s="5" t="n">
        <v>220316.28277612399</v>
      </c>
      <c r="F280" s="6" t="n">
        <v>52.408477842003897</v>
      </c>
      <c r="G280" s="7" t="n">
        <v>35841.895267806904</v>
      </c>
      <c r="H280" s="8" t="n">
        <v>8.5260115606936395</v>
      </c>
      <c r="I280" s="12" t="n">
        <v>81808.619707310703</v>
      </c>
      <c r="J280" s="13" t="n">
        <v>19.460500963391102</v>
      </c>
      <c r="K280" s="14" t="str">
        <f>=HYPERLINK("https://ucloud.univie.ac.at/index.php/f/1543029432","Open Cytogram")</f>
      </c>
      <c r="L280" s="9" t="s">
        <v>314</v>
      </c>
      <c r="M280" s="10" t="s">
        <v>14</v>
      </c>
      <c r="N280" s="10" t="s">
        <v>314</v>
      </c>
      <c r="O280" s="10" t="s">
        <v>200</v>
      </c>
    </row>
    <row r="281">
      <c r="A281" s="2" t="s">
        <v>314</v>
      </c>
      <c r="B281" s="3" t="n">
        <v>46211</v>
      </c>
      <c r="C281" s="3" t="n">
        <v>46197</v>
      </c>
      <c r="D281" s="4" t="n">
        <f t="shared" si="108"/>
        <v>14</v>
      </c>
      <c r="E281" s="5" t="n">
        <v>363630.81132505502</v>
      </c>
      <c r="F281" s="6" t="n">
        <v>44.838630204483898</v>
      </c>
      <c r="G281" s="7" t="n">
        <v>170626.76531406399</v>
      </c>
      <c r="H281" s="8" t="n">
        <v>21.039664942104</v>
      </c>
      <c r="I281" s="12" t="n">
        <v>167430.01092878901</v>
      </c>
      <c r="J281" s="13" t="n">
        <v>20.645479182064499</v>
      </c>
      <c r="K281" s="14" t="str">
        <f>=HYPERLINK("https://ucloud.univie.ac.at/index.php/f/1547934963","Open Cytogram")</f>
      </c>
      <c r="L281" s="9" t="s">
        <v>314</v>
      </c>
      <c r="M281" t="s">
        <v>14</v>
      </c>
      <c r="N281" t="s">
        <v>314</v>
      </c>
      <c r="O281" t="s">
        <v>201</v>
      </c>
    </row>
    <row r="282">
      <c r="A282" s="17" t="s">
        <v>314</v>
      </c>
      <c r="B282" s="18" t="n">
        <v>46218</v>
      </c>
      <c r="C282" s="18" t="n">
        <v>46197</v>
      </c>
      <c r="D282" s="19" t="n">
        <f t="shared" si="108"/>
        <v>21</v>
      </c>
      <c r="E282" s="20" t="n">
        <v>424827.18093688699</v>
      </c>
      <c r="F282" s="21" t="n">
        <v>32.751998339042899</v>
      </c>
      <c r="G282" s="22" t="n">
        <v>329762.84187462297</v>
      </c>
      <c r="H282" s="23" t="n">
        <v>25.423025018166701</v>
      </c>
      <c r="I282" s="27" t="n">
        <v>309834.34020151402</v>
      </c>
      <c r="J282" s="28" t="n">
        <v>23.886639676113401</v>
      </c>
      <c r="K282" s="24" t="str">
        <f>=HYPERLINK("https://ucloud.univie.ac.at/index.php/f/1552579888","Open Cytogram")</f>
      </c>
      <c r="L282" s="15" t="s">
        <v>314</v>
      </c>
      <c r="M282" s="16" t="s">
        <v>14</v>
      </c>
      <c r="N282" s="16" t="s">
        <v>314</v>
      </c>
      <c r="O282" s="16" t="s">
        <v>218</v>
      </c>
    </row>
    <row r="283">
      <c r="A283" s="2" t="s">
        <v>297</v>
      </c>
      <c r="B283" s="3" t="n">
        <v>46204</v>
      </c>
      <c r="C283" s="3" t="n">
        <v>46197</v>
      </c>
      <c r="D283" s="4" t="n">
        <f t="shared" si="108"/>
        <v>7</v>
      </c>
      <c r="E283" s="5" t="n">
        <v>4334755.3522456503</v>
      </c>
      <c r="F283" s="6" t="n">
        <v>24.7698785742264</v>
      </c>
      <c r="G283" s="7" t="n">
        <v>7529484.6131367097</v>
      </c>
      <c r="H283" s="8" t="n">
        <v>43.0253623188406</v>
      </c>
      <c r="I283" s="12" t="n">
        <v>4323188.0074630203</v>
      </c>
      <c r="J283" s="13" t="n">
        <v>24.7037798668233</v>
      </c>
      <c r="K283" s="14" t="str">
        <f>=HYPERLINK("https://ucloud.univie.ac.at/index.php/f/1543029432","Open Cytogram")</f>
      </c>
      <c r="L283" s="9" t="s">
        <v>314</v>
      </c>
      <c r="M283" t="s">
        <v>14</v>
      </c>
      <c r="N283" t="s">
        <v>314</v>
      </c>
      <c r="O283" t="s">
        <v>200</v>
      </c>
    </row>
    <row r="284">
      <c r="A284" s="2" t="s">
        <v>314</v>
      </c>
      <c r="B284" s="3" t="n">
        <v>46211</v>
      </c>
      <c r="C284" s="3" t="n">
        <v>46197</v>
      </c>
      <c r="D284" s="4" t="n">
        <f t="shared" si="108"/>
        <v>14</v>
      </c>
      <c r="E284" s="5" t="n">
        <v>3858941.64675212</v>
      </c>
      <c r="F284" s="6" t="n">
        <v>26.2621518808998</v>
      </c>
      <c r="G284" s="7" t="n">
        <v>4731205.9960895097</v>
      </c>
      <c r="H284" s="8" t="n">
        <v>32.198375052834301</v>
      </c>
      <c r="I284" s="12" t="n">
        <v>5359871.2035628902</v>
      </c>
      <c r="J284" s="13" t="n">
        <v>36.476776405391398</v>
      </c>
      <c r="K284" s="14" t="str">
        <f>=HYPERLINK("https://ucloud.univie.ac.at/index.php/f/1547934963","Open Cytogram")</f>
      </c>
      <c r="L284" s="9" t="s">
        <v>314</v>
      </c>
      <c r="M284" s="10" t="s">
        <v>14</v>
      </c>
      <c r="N284" s="10" t="s">
        <v>314</v>
      </c>
      <c r="O284" s="10" t="s">
        <v>201</v>
      </c>
    </row>
    <row r="285">
      <c r="A285" s="17" t="s">
        <v>314</v>
      </c>
      <c r="B285" s="18" t="n">
        <v>46218</v>
      </c>
      <c r="C285" s="18" t="n">
        <v>46197</v>
      </c>
      <c r="D285" s="19" t="n">
        <f t="shared" si="108"/>
        <v>21</v>
      </c>
      <c r="E285" s="20" t="n">
        <v>2589029.4107806101</v>
      </c>
      <c r="F285" s="21" t="n">
        <v>19.632495164410098</v>
      </c>
      <c r="G285" s="22" t="n">
        <v>4482549.4429016002</v>
      </c>
      <c r="H285" s="23" t="n">
        <v>33.9909735654416</v>
      </c>
      <c r="I285" s="27" t="n">
        <v>5575978.6127747903</v>
      </c>
      <c r="J285" s="28" t="n">
        <v>42.282398452611197</v>
      </c>
      <c r="K285" s="24" t="str">
        <f>=HYPERLINK("https://ucloud.univie.ac.at/index.php/f/1552579888","Open Cytogram")</f>
      </c>
      <c r="L285" s="15" t="s">
        <v>314</v>
      </c>
      <c r="M285" s="25" t="s">
        <v>14</v>
      </c>
      <c r="N285" s="25" t="s">
        <v>314</v>
      </c>
      <c r="O285" s="25" t="s">
        <v>218</v>
      </c>
    </row>
    <row r="286">
      <c r="A286" s="17" t="s">
        <v>298</v>
      </c>
      <c r="B286" s="18" t="n">
        <v>46233</v>
      </c>
      <c r="C286" s="18"/>
      <c r="D286" s="19" t="str">
        <f t="shared" si="108"/>
        <v/>
      </c>
      <c r="E286" s="20" t="n">
        <v>540735.62432698102</v>
      </c>
      <c r="F286" s="21" t="n">
        <v>60.770156438026497</v>
      </c>
      <c r="G286" s="22" t="n">
        <v>1427.6848167049</v>
      </c>
      <c r="H286" s="23" t="n">
        <v>0.16044925792218201</v>
      </c>
      <c r="I286" s="27" t="n">
        <v>1427.6848167049</v>
      </c>
      <c r="J286" s="28" t="n">
        <v>0.16044925792218201</v>
      </c>
      <c r="K286" s="24" t="str">
        <f>=HYPERLINK("https://ucloud.univie.ac.at/index.php/f/1567856234","Open Cytogram")</f>
      </c>
      <c r="L286" s="15" t="s">
        <v>314</v>
      </c>
      <c r="M286" s="16" t="s">
        <v>14</v>
      </c>
      <c r="N286" s="16" t="s">
        <v>314</v>
      </c>
      <c r="O286" s="16" t="s">
        <v>206</v>
      </c>
    </row>
    <row r="287">
      <c r="A287" s="17" t="s">
        <v>299</v>
      </c>
      <c r="B287" s="18" t="n">
        <v>46233</v>
      </c>
      <c r="C287" s="18"/>
      <c r="D287" s="19" t="str">
        <f t="shared" si="108"/>
        <v/>
      </c>
      <c r="E287" s="20" t="n">
        <v>269277.82667832001</v>
      </c>
      <c r="F287" s="21" t="n">
        <v>47.474513438368902</v>
      </c>
      <c r="G287" s="22" t="n">
        <v>20632.805655683798</v>
      </c>
      <c r="H287" s="23" t="n">
        <v>3.6376274328081601</v>
      </c>
      <c r="I287" s="27" t="n">
        <v>108946.470627783</v>
      </c>
      <c r="J287" s="28" t="n">
        <v>19.207599629286399</v>
      </c>
      <c r="K287" s="24" t="str">
        <f>=HYPERLINK("https://ucloud.univie.ac.at/index.php/f/1567856234","Open Cytogram")</f>
      </c>
      <c r="L287" s="15" t="s">
        <v>314</v>
      </c>
      <c r="M287" s="25" t="s">
        <v>14</v>
      </c>
      <c r="N287" s="25" t="s">
        <v>314</v>
      </c>
      <c r="O287" s="25" t="s">
        <v>206</v>
      </c>
    </row>
    <row r="288">
      <c r="A288" s="17" t="s">
        <v>300</v>
      </c>
      <c r="B288" s="18" t="n">
        <v>46233</v>
      </c>
      <c r="C288" s="18"/>
      <c r="D288" s="19" t="str">
        <f t="shared" si="108"/>
        <v/>
      </c>
      <c r="E288" s="20" t="n">
        <v>2454026.5264959298</v>
      </c>
      <c r="F288" s="21" t="n">
        <v>2700.8547008547498</v>
      </c>
      <c r="G288" s="22" t="n">
        <v>2271527.71835462</v>
      </c>
      <c r="H288" s="23" t="n">
        <v>2500.00000000005</v>
      </c>
      <c r="I288" s="27" t="n">
        <v>3472136.8987225699</v>
      </c>
      <c r="J288" s="28" t="n">
        <v>3821.3675213676001</v>
      </c>
      <c r="K288" s="24" t="str">
        <f>=HYPERLINK("https://ucloud.univie.ac.at/index.php/f/1567856234","Open Cytogram")</f>
      </c>
      <c r="L288" s="15" t="s">
        <v>314</v>
      </c>
      <c r="M288" s="16" t="s">
        <v>14</v>
      </c>
      <c r="N288" s="16" t="s">
        <v>314</v>
      </c>
      <c r="O288" s="16" t="s">
        <v>206</v>
      </c>
    </row>
    <row r="289">
      <c r="A289" s="2" t="s">
        <v>301</v>
      </c>
      <c r="B289" s="3" t="n">
        <v>46218</v>
      </c>
      <c r="C289" s="3"/>
      <c r="D289" s="4" t="str">
        <f t="shared" si="108"/>
        <v/>
      </c>
      <c r="E289" s="5" t="n">
        <v>4105100.7108156499</v>
      </c>
      <c r="F289" s="6" t="n">
        <v>42.526363024455897</v>
      </c>
      <c r="G289" s="7" t="n">
        <v>4097303.7484019399</v>
      </c>
      <c r="H289" s="8" t="n">
        <v>42.445591204846302</v>
      </c>
      <c r="I289" s="12" t="n">
        <v>1248813.4799284099</v>
      </c>
      <c r="J289" s="13" t="n">
        <v>12.9369531074714</v>
      </c>
      <c r="K289" s="14" t="str">
        <f>=HYPERLINK("https://ucloud.univie.ac.at/index.php/f/1557416330","Open Cytogram")</f>
      </c>
      <c r="L289" s="9" t="s">
        <v>314</v>
      </c>
      <c r="M289" t="s">
        <v>14</v>
      </c>
      <c r="N289" t="s">
        <v>314</v>
      </c>
      <c r="O289" t="s">
        <v>302</v>
      </c>
    </row>
    <row r="290">
      <c r="A290" s="2" t="s">
        <v>314</v>
      </c>
      <c r="B290" s="3" t="n">
        <v>46231</v>
      </c>
      <c r="C290" s="3"/>
      <c r="D290" s="4" t="str">
        <f t="shared" si="108"/>
        <v/>
      </c>
      <c r="E290" s="5" t="n">
        <v>6637509.7395102503</v>
      </c>
      <c r="F290" s="6" t="n">
        <v>23.148585276807399</v>
      </c>
      <c r="G290" s="7" t="n">
        <v>19999164.2878704</v>
      </c>
      <c r="H290" s="8" t="n">
        <v>69.747899159663902</v>
      </c>
      <c r="I290" s="12" t="n">
        <v>1322087.25606832</v>
      </c>
      <c r="J290" s="13" t="n">
        <v>4.6108330972838596</v>
      </c>
      <c r="K290" s="14" t="str">
        <f>=HYPERLINK("https://ucloud.univie.ac.at/index.php/f/1563063010","Open Cytogram")</f>
      </c>
      <c r="L290" s="9" t="s">
        <v>314</v>
      </c>
      <c r="M290" s="10" t="s">
        <v>14</v>
      </c>
      <c r="N290" s="10" t="s">
        <v>314</v>
      </c>
      <c r="O290" s="10" t="s">
        <v>204</v>
      </c>
    </row>
    <row r="291">
      <c r="A291" s="17" t="s">
        <v>314</v>
      </c>
      <c r="B291" s="18" t="n">
        <v>46238</v>
      </c>
      <c r="C291" s="18"/>
      <c r="D291" s="19" t="str">
        <f t="shared" si="108"/>
        <v/>
      </c>
      <c r="E291" s="20" t="n">
        <v>8264477.9414461097</v>
      </c>
      <c r="F291" s="21" t="n">
        <v>48.432166750102397</v>
      </c>
      <c r="G291" s="22" t="n">
        <v>5801132.3268748699</v>
      </c>
      <c r="H291" s="23" t="n">
        <v>33.9962681472716</v>
      </c>
      <c r="I291" s="27" t="n">
        <v>2174453.8842369001</v>
      </c>
      <c r="J291" s="28" t="n">
        <v>12.742911755336101</v>
      </c>
      <c r="K291" s="24" t="str">
        <f>=HYPERLINK("https://ucloud.univie.ac.at/index.php/f/1567856234","Open Cytogram")</f>
      </c>
      <c r="L291" s="15" t="s">
        <v>314</v>
      </c>
      <c r="M291" s="25" t="s">
        <v>14</v>
      </c>
      <c r="N291" s="25" t="s">
        <v>314</v>
      </c>
      <c r="O291" s="25" t="s">
        <v>206</v>
      </c>
    </row>
    <row r="292">
      <c r="A292" s="17" t="s">
        <v>303</v>
      </c>
      <c r="B292" s="18" t="n">
        <v>46218</v>
      </c>
      <c r="C292" s="18"/>
      <c r="D292" s="19" t="str">
        <f t="shared" si="108"/>
        <v/>
      </c>
      <c r="E292" s="20" t="n">
        <v>27118063.720012099</v>
      </c>
      <c r="F292" s="21" t="n">
        <v>51.412083306467203</v>
      </c>
      <c r="G292" s="22" t="n">
        <v>10813555.3518252</v>
      </c>
      <c r="H292" s="23" t="n">
        <v>20.500999419691802</v>
      </c>
      <c r="I292" s="27" t="n">
        <v>13617699.521531099</v>
      </c>
      <c r="J292" s="28" t="n">
        <v>25.817267393126599</v>
      </c>
      <c r="K292" s="24" t="str">
        <f>=HYPERLINK("https://ucloud.univie.ac.at/index.php/f/1557416330","Open Cytogram")</f>
      </c>
      <c r="L292" s="15" t="s">
        <v>314</v>
      </c>
      <c r="M292" s="16" t="s">
        <v>14</v>
      </c>
      <c r="N292" s="16" t="s">
        <v>314</v>
      </c>
      <c r="O292" s="16" t="s">
        <v>302</v>
      </c>
    </row>
    <row r="293">
      <c r="A293" s="17" t="s">
        <v>304</v>
      </c>
      <c r="B293" s="18" t="n">
        <v>46189</v>
      </c>
      <c r="C293" s="18"/>
      <c r="D293" s="19" t="str">
        <f t="shared" si="108"/>
        <v/>
      </c>
      <c r="E293" s="20"/>
      <c r="F293" s="21"/>
      <c r="G293" s="22"/>
      <c r="H293" s="23"/>
      <c r="I293" s="27"/>
      <c r="J293" s="28"/>
      <c r="K293" s="24" t="str">
        <f>=HYPERLINK("https://ucloud.univie.ac.at/index.php/f/1537345796","Open Cytogram")</f>
      </c>
      <c r="L293" s="15" t="s">
        <v>314</v>
      </c>
      <c r="M293" s="25" t="s">
        <v>14</v>
      </c>
      <c r="N293" s="25" t="s">
        <v>314</v>
      </c>
      <c r="O293" s="25" t="s">
        <v>192</v>
      </c>
    </row>
    <row r="294">
      <c r="A294" s="17" t="s">
        <v>305</v>
      </c>
      <c r="B294" s="18" t="n">
        <v>46189</v>
      </c>
      <c r="C294" s="18"/>
      <c r="D294" s="19" t="str">
        <f t="shared" si="108"/>
        <v/>
      </c>
      <c r="E294" s="20" t="n">
        <v>158914.356891943</v>
      </c>
      <c r="F294" s="21" t="n">
        <v>5.96058770280621</v>
      </c>
      <c r="G294" s="22" t="n">
        <v>1754369.9446598799</v>
      </c>
      <c r="H294" s="23" t="n">
        <v>65.803217046166694</v>
      </c>
      <c r="I294" s="27" t="n">
        <v>56808.169636605802</v>
      </c>
      <c r="J294" s="28" t="n">
        <v>2.1307708376854002</v>
      </c>
      <c r="K294" s="24" t="str">
        <f>=HYPERLINK("https://ucloud.univie.ac.at/index.php/f/1537345796","Open Cytogram")</f>
      </c>
      <c r="L294" s="15" t="s">
        <v>314</v>
      </c>
      <c r="M294" s="16" t="s">
        <v>14</v>
      </c>
      <c r="N294" s="16" t="s">
        <v>314</v>
      </c>
      <c r="O294" s="16" t="s">
        <v>192</v>
      </c>
    </row>
    <row r="295">
      <c r="A295" s="17" t="s">
        <v>158</v>
      </c>
      <c r="B295" s="18" t="n">
        <v>46195</v>
      </c>
      <c r="C295" s="18"/>
      <c r="D295" s="19" t="str">
        <f t="shared" si="108"/>
        <v/>
      </c>
      <c r="E295" s="20" t="n">
        <v>703350.70434574701</v>
      </c>
      <c r="F295" s="21" t="n">
        <v>17.485858641331198</v>
      </c>
      <c r="G295" s="22" t="n">
        <v>1021007.20963758</v>
      </c>
      <c r="H295" s="23" t="n">
        <v>25.383052336756499</v>
      </c>
      <c r="I295" s="27" t="n">
        <v>34018.846881044301</v>
      </c>
      <c r="J295" s="28" t="n">
        <v>0.84573562524026602</v>
      </c>
      <c r="K295" s="24" t="str">
        <f>=HYPERLINK("https://ucloud.univie.ac.at/index.php/f/1537345796","Open Cytogram")</f>
      </c>
      <c r="L295" s="15" t="s">
        <v>314</v>
      </c>
      <c r="M295" s="25" t="s">
        <v>14</v>
      </c>
      <c r="N295" s="25" t="s">
        <v>314</v>
      </c>
      <c r="O295" s="25" t="s">
        <v>192</v>
      </c>
    </row>
    <row r="296">
      <c r="A296" s="17" t="s">
        <v>306</v>
      </c>
      <c r="B296" s="18" t="n">
        <v>46195</v>
      </c>
      <c r="C296" s="18"/>
      <c r="D296" s="19" t="str">
        <f t="shared" si="108"/>
        <v/>
      </c>
      <c r="E296" s="20" t="n">
        <v>204398.02212386599</v>
      </c>
      <c r="F296" s="21" t="n">
        <v>12.1603711066932</v>
      </c>
      <c r="G296" s="22" t="n">
        <v>269560.33435408998</v>
      </c>
      <c r="H296" s="23" t="n">
        <v>16.0371106693174</v>
      </c>
      <c r="I296" s="27" t="n">
        <v>12067.094857448899</v>
      </c>
      <c r="J296" s="28" t="n">
        <v>0.71791473381930604</v>
      </c>
      <c r="K296" s="24" t="str">
        <f>=HYPERLINK("https://ucloud.univie.ac.at/index.php/f/1537345796","Open Cytogram")</f>
      </c>
      <c r="L296" s="15" t="s">
        <v>314</v>
      </c>
      <c r="M296" s="16" t="s">
        <v>14</v>
      </c>
      <c r="N296" s="16" t="s">
        <v>314</v>
      </c>
      <c r="O296" s="16" t="s">
        <v>192</v>
      </c>
    </row>
    <row r="297">
      <c r="A297" s="2" t="s">
        <v>307</v>
      </c>
      <c r="B297" s="3" t="n">
        <v>46212</v>
      </c>
      <c r="C297" s="3" t="n">
        <v>46212</v>
      </c>
      <c r="D297" s="4" t="n">
        <f t="shared" si="108"/>
        <v>0</v>
      </c>
      <c r="E297" s="5" t="n">
        <v>2453974.8209512802</v>
      </c>
      <c r="F297" s="6" t="n">
        <v>44.485246468224801</v>
      </c>
      <c r="G297" s="7" t="n">
        <v>585550.75605295703</v>
      </c>
      <c r="H297" s="8" t="n">
        <v>10.614766492417999</v>
      </c>
      <c r="I297" s="12" t="n">
        <v>2254978.1252637701</v>
      </c>
      <c r="J297" s="13" t="n">
        <v>40.877867542230099</v>
      </c>
      <c r="K297" s="14" t="str">
        <f>=HYPERLINK("https://ucloud.univie.ac.at/index.php/f/1552579888","Open Cytogram")</f>
      </c>
      <c r="L297" s="9" t="s">
        <v>314</v>
      </c>
      <c r="M297" t="s">
        <v>14</v>
      </c>
      <c r="N297" t="s">
        <v>314</v>
      </c>
      <c r="O297" t="s">
        <v>218</v>
      </c>
    </row>
    <row r="298">
      <c r="A298" s="17" t="s">
        <v>314</v>
      </c>
      <c r="B298" s="18" t="n">
        <v>46219</v>
      </c>
      <c r="C298" s="18" t="n">
        <v>46212</v>
      </c>
      <c r="D298" s="19" t="n">
        <f t="shared" si="108"/>
        <v>7</v>
      </c>
      <c r="E298" s="20" t="n">
        <v>4277784.1825749902</v>
      </c>
      <c r="F298" s="21" t="n">
        <v>21.198685847341402</v>
      </c>
      <c r="G298" s="22" t="n">
        <v>3999721.7740777899</v>
      </c>
      <c r="H298" s="23" t="n">
        <v>19.820739370355</v>
      </c>
      <c r="I298" s="27" t="n">
        <v>10875973.4175398</v>
      </c>
      <c r="J298" s="28" t="n">
        <v>53.896207457497397</v>
      </c>
      <c r="K298" s="24" t="str">
        <f>=HYPERLINK("https://ucloud.univie.ac.at/index.php/f/1552579888","Open Cytogram")</f>
      </c>
      <c r="L298" s="15" t="s">
        <v>314</v>
      </c>
      <c r="M298" s="16" t="s">
        <v>14</v>
      </c>
      <c r="N298" s="16" t="s">
        <v>314</v>
      </c>
      <c r="O298" s="16" t="s">
        <v>218</v>
      </c>
    </row>
    <row r="299">
      <c r="A299" s="2" t="s">
        <v>308</v>
      </c>
      <c r="B299" s="3" t="n">
        <v>46212</v>
      </c>
      <c r="C299" s="3" t="n">
        <v>46212</v>
      </c>
      <c r="D299" s="4" t="n">
        <f t="shared" si="108"/>
        <v>0</v>
      </c>
      <c r="E299" s="5" t="n">
        <v>3606597.1124019702</v>
      </c>
      <c r="F299" s="6" t="n">
        <v>51.273268801191399</v>
      </c>
      <c r="G299" s="7" t="n">
        <v>1150958.0532244199</v>
      </c>
      <c r="H299" s="8" t="n">
        <v>16.3626209977662</v>
      </c>
      <c r="I299" s="12" t="n">
        <v>2008087.90719564</v>
      </c>
      <c r="J299" s="13" t="n">
        <v>28.548026805658999</v>
      </c>
      <c r="K299" s="14" t="str">
        <f>=HYPERLINK("https://ucloud.univie.ac.at/index.php/f/1552579888","Open Cytogram")</f>
      </c>
      <c r="L299" s="9" t="s">
        <v>314</v>
      </c>
      <c r="M299" t="s">
        <v>14</v>
      </c>
      <c r="N299" t="s">
        <v>314</v>
      </c>
      <c r="O299" t="s">
        <v>218</v>
      </c>
    </row>
    <row r="300">
      <c r="A300" s="17" t="s">
        <v>314</v>
      </c>
      <c r="B300" s="18" t="n">
        <v>46219</v>
      </c>
      <c r="C300" s="18" t="n">
        <v>46212</v>
      </c>
      <c r="D300" s="19" t="n">
        <f t="shared" si="108"/>
        <v>7</v>
      </c>
      <c r="E300" s="20" t="n">
        <v>5085581.2257786598</v>
      </c>
      <c r="F300" s="21" t="n">
        <v>27.366561601607099</v>
      </c>
      <c r="G300" s="22" t="n">
        <v>3528560.4707908598</v>
      </c>
      <c r="H300" s="23" t="n">
        <v>18.987911745350001</v>
      </c>
      <c r="I300" s="27" t="n">
        <v>9308010.3918472603</v>
      </c>
      <c r="J300" s="28" t="n">
        <v>50.088323923660397</v>
      </c>
      <c r="K300" s="24" t="str">
        <f>=HYPERLINK("https://ucloud.univie.ac.at/index.php/f/1552579888","Open Cytogram")</f>
      </c>
      <c r="L300" s="15" t="s">
        <v>314</v>
      </c>
      <c r="M300" s="16" t="s">
        <v>14</v>
      </c>
      <c r="N300" s="16" t="s">
        <v>314</v>
      </c>
      <c r="O300" s="16" t="s">
        <v>218</v>
      </c>
    </row>
    <row r="301">
      <c r="A301" s="2" t="s">
        <v>309</v>
      </c>
      <c r="B301" s="3" t="n">
        <v>46226</v>
      </c>
      <c r="C301" s="3"/>
      <c r="D301" s="4" t="str">
        <f t="shared" si="108"/>
        <v/>
      </c>
      <c r="E301" s="5" t="n">
        <v>20030749.990233801</v>
      </c>
      <c r="F301" s="6" t="n">
        <v>35.284953501311499</v>
      </c>
      <c r="G301" s="7" t="n">
        <v>25658419.702753998</v>
      </c>
      <c r="H301" s="8" t="n">
        <v>45.198314919322797</v>
      </c>
      <c r="I301" s="12" t="n">
        <v>9835787.7159649506</v>
      </c>
      <c r="J301" s="13" t="n">
        <v>17.3261266989905</v>
      </c>
      <c r="K301" s="14" t="str">
        <f>=HYPERLINK("https://ucloud.univie.ac.at/index.php/f/1563063010","Open Cytogram")</f>
      </c>
      <c r="L301" s="9" t="s">
        <v>314</v>
      </c>
      <c r="M301" t="s">
        <v>14</v>
      </c>
      <c r="N301" t="s">
        <v>314</v>
      </c>
      <c r="O301" t="s">
        <v>204</v>
      </c>
    </row>
    <row r="302">
      <c r="A302" s="17" t="s">
        <v>314</v>
      </c>
      <c r="B302" s="18" t="n">
        <v>46231</v>
      </c>
      <c r="C302" s="18"/>
      <c r="D302" s="19" t="str">
        <f t="shared" si="108"/>
        <v/>
      </c>
      <c r="E302" s="20" t="n">
        <v>8880997.0559510998</v>
      </c>
      <c r="F302" s="21" t="n">
        <v>35.824535857298898</v>
      </c>
      <c r="G302" s="22" t="n">
        <v>9871885.6615231298</v>
      </c>
      <c r="H302" s="23" t="n">
        <v>39.821623589370198</v>
      </c>
      <c r="I302" s="27" t="n">
        <v>5290153.9215511996</v>
      </c>
      <c r="J302" s="28" t="n">
        <v>21.339643247178699</v>
      </c>
      <c r="K302" s="24" t="str">
        <f>=HYPERLINK("https://ucloud.univie.ac.at/index.php/f/1563063010","Open Cytogram")</f>
      </c>
      <c r="L302" s="15" t="s">
        <v>314</v>
      </c>
      <c r="M302" s="16" t="s">
        <v>14</v>
      </c>
      <c r="N302" s="16" t="s">
        <v>314</v>
      </c>
      <c r="O302" s="16" t="s">
        <v>204</v>
      </c>
    </row>
    <row r="303">
      <c r="A303" s="17" t="s">
        <v>310</v>
      </c>
      <c r="B303" s="18" t="n">
        <v>46211</v>
      </c>
      <c r="C303" s="18"/>
      <c r="D303" s="19" t="str">
        <f t="shared" si="108"/>
        <v/>
      </c>
      <c r="E303" s="20" t="n">
        <v>13048464.9151846</v>
      </c>
      <c r="F303" s="21" t="n">
        <v>44.7688802083333</v>
      </c>
      <c r="G303" s="22" t="n">
        <v>12635748.981344299</v>
      </c>
      <c r="H303" s="23" t="n">
        <v>43.3528645833333</v>
      </c>
      <c r="I303" s="27" t="n">
        <v>2088247.74800562</v>
      </c>
      <c r="J303" s="28" t="n">
        <v>7.1647135416666696</v>
      </c>
      <c r="K303" s="24" t="str">
        <f>=HYPERLINK("https://ucloud.univie.ac.at/index.php/f/1547934963","Open Cytogram")</f>
      </c>
      <c r="L303" s="15" t="s">
        <v>314</v>
      </c>
      <c r="M303" s="25" t="s">
        <v>14</v>
      </c>
      <c r="N303" s="25" t="s">
        <v>311</v>
      </c>
      <c r="O303" s="25" t="s">
        <v>201</v>
      </c>
    </row>
    <row r="304">
      <c r="A304" s="2" t="s">
        <v>312</v>
      </c>
      <c r="B304" s="3" t="n">
        <v>46226</v>
      </c>
      <c r="C304" s="3"/>
      <c r="D304" s="4" t="str">
        <f t="shared" si="108"/>
        <v/>
      </c>
      <c r="E304" s="5" t="n">
        <v>3695737.5105425902</v>
      </c>
      <c r="F304" s="6" t="n">
        <v>22.646310432570001</v>
      </c>
      <c r="G304" s="7" t="n">
        <v>6709659.0033736201</v>
      </c>
      <c r="H304" s="8" t="n">
        <v>41.114667979972097</v>
      </c>
      <c r="I304" s="12" t="n">
        <v>5204707.53795332</v>
      </c>
      <c r="J304" s="13" t="n">
        <v>31.892801444636</v>
      </c>
      <c r="K304" s="14" t="str">
        <f>=HYPERLINK("https://ucloud.univie.ac.at/index.php/f/1563063010","Open Cytogram")</f>
      </c>
      <c r="L304" s="9" t="s">
        <v>314</v>
      </c>
      <c r="M304" s="10" t="s">
        <v>14</v>
      </c>
      <c r="N304" s="10" t="s">
        <v>314</v>
      </c>
      <c r="O304" s="10" t="s">
        <v>204</v>
      </c>
    </row>
    <row r="305">
      <c r="A305" s="17" t="s">
        <v>314</v>
      </c>
      <c r="B305" s="18" t="n">
        <v>46231</v>
      </c>
      <c r="C305" s="18"/>
      <c r="D305" s="19" t="str">
        <f t="shared" si="108"/>
        <v/>
      </c>
      <c r="E305" s="20" t="n">
        <v>4709084.8924655505</v>
      </c>
      <c r="F305" s="21" t="n">
        <v>25.135850135850099</v>
      </c>
      <c r="G305" s="22" t="n">
        <v>8249438.0060444102</v>
      </c>
      <c r="H305" s="23" t="n">
        <v>44.033319033319003</v>
      </c>
      <c r="I305" s="27" t="n">
        <v>4902645.6283384804</v>
      </c>
      <c r="J305" s="28" t="n">
        <v>26.1690261690262</v>
      </c>
      <c r="K305" s="24" t="str">
        <f>=HYPERLINK("https://ucloud.univie.ac.at/index.php/f/1563063010","Open Cytogram")</f>
      </c>
      <c r="L305" s="15" t="s">
        <v>314</v>
      </c>
      <c r="M305" s="25" t="s">
        <v>14</v>
      </c>
      <c r="N305" s="25" t="s">
        <v>314</v>
      </c>
      <c r="O305" s="25" t="s">
        <v>204</v>
      </c>
    </row>
    <row r="306">
      <c r="A306" s="2" t="s">
        <v>313</v>
      </c>
      <c r="B306" s="3" t="n">
        <v>46211</v>
      </c>
      <c r="C306" s="3"/>
      <c r="D306" s="4" t="str">
        <f t="shared" si="108"/>
        <v/>
      </c>
      <c r="E306" s="5" t="n">
        <v>12306525.0065338</v>
      </c>
      <c r="F306" s="6" t="n">
        <v>34.046406635518899</v>
      </c>
      <c r="G306" s="7" t="n">
        <v>20678491.443790399</v>
      </c>
      <c r="H306" s="8" t="n">
        <v>57.207727439760603</v>
      </c>
      <c r="I306" s="12" t="n">
        <v>1704943.7542781001</v>
      </c>
      <c r="J306" s="13" t="n">
        <v>4.7167830332300902</v>
      </c>
      <c r="K306" s="14" t="str">
        <f>=HYPERLINK("https://ucloud.univie.ac.at/index.php/f/1547934963","Open Cytogram")</f>
      </c>
      <c r="L306" s="9" t="s">
        <v>314</v>
      </c>
      <c r="M306" s="10" t="s">
        <v>14</v>
      </c>
      <c r="N306" s="10" t="s">
        <v>311</v>
      </c>
      <c r="O306" s="10" t="s">
        <v>201</v>
      </c>
    </row>
  </sheetData>
  <hyperlinks>
    <hyperlink ref="M64" r:id="rId1h"/>
    <hyperlink ref="M257" r:id="rId2h"/>
  </hyperlinks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Gabriel Thornes (gabrielt95)</cp:lastModifiedBy>
  <cp:revision>26</cp:revision>
  <dcterms:created xsi:type="dcterms:W3CDTF">2026-06-18T20:18:43Z</dcterms:created>
  <dcterms:modified xsi:type="dcterms:W3CDTF">2026-08-05T13:18:51Z</dcterms:modified>
</cp:coreProperties>
</file>