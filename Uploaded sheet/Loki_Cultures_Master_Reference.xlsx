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firstSheet="0" activeTab="0"/>
  </bookViews>
  <sheets>
    <sheet name="B35" sheetId="3" state="visible" r:id="rId1"/>
    <sheet name="B36" sheetId="4" state="visible" r:id="rId2"/>
  </sheets>
  <definedNames>
    <definedName name="_xlnm._FilterDatabase" localSheetId="0" hidden="1">'B35'!$A$1:$L$346</definedName>
  </definedNames>
  <calcPr/>
</workbook>
</file>

<file path=xl/sharedStrings.xml><?xml version="1.0" encoding="utf-8"?>
<sst xmlns="http://schemas.openxmlformats.org/spreadsheetml/2006/main" count="669" uniqueCount="669">
  <si>
    <t xml:space="preserve">Culture ID</t>
  </si>
  <si>
    <t xml:space="preserve">Sample Date</t>
  </si>
  <si>
    <t xml:space="preserve">Inoculation Date</t>
  </si>
  <si>
    <t xml:space="preserve">Age (days)</t>
  </si>
  <si>
    <t xml:space="preserve">Loki mL-1</t>
  </si>
  <si>
    <t xml:space="preserve">Loki %</t>
  </si>
  <si>
    <t xml:space="preserve">DSV/Spiro mL-1</t>
  </si>
  <si>
    <t xml:space="preserve">DSV/Spiro %</t>
  </si>
  <si>
    <t xml:space="preserve">Cytogram Link</t>
  </si>
  <si>
    <t xml:space="preserve">Microscopy Link</t>
  </si>
  <si>
    <t xml:space="preserve">Microscopy URL</t>
  </si>
  <si>
    <t>Treatment</t>
  </si>
  <si>
    <t xml:space="preserve">Batch File</t>
  </si>
  <si>
    <t>811</t>
  </si>
  <si>
    <t/>
  </si>
  <si>
    <t>Batch_Analysis_15052026140518.pdf</t>
  </si>
  <si>
    <t>812</t>
  </si>
  <si>
    <t>813</t>
  </si>
  <si>
    <t>816</t>
  </si>
  <si>
    <t>817</t>
  </si>
  <si>
    <t>822</t>
  </si>
  <si>
    <t>823</t>
  </si>
  <si>
    <t>824</t>
  </si>
  <si>
    <t>833</t>
  </si>
  <si>
    <t>Batch_Analysis_10062026104625.pdf</t>
  </si>
  <si>
    <t>834</t>
  </si>
  <si>
    <t>835</t>
  </si>
  <si>
    <t>841</t>
  </si>
  <si>
    <t>Batch_Analysis_17062026152110.pdf</t>
  </si>
  <si>
    <t>842</t>
  </si>
  <si>
    <t>843</t>
  </si>
  <si>
    <t>844</t>
  </si>
  <si>
    <t>845</t>
  </si>
  <si>
    <t>850</t>
  </si>
  <si>
    <t>Batch_Analysis_19062026103002.pdf</t>
  </si>
  <si>
    <t>Batch_Analysis_01072026113912.pdf</t>
  </si>
  <si>
    <t>Batch_Analysis_10072026105548.pdf</t>
  </si>
  <si>
    <t>Batch_Analysis_17072026132826.pdf</t>
  </si>
  <si>
    <t>851</t>
  </si>
  <si>
    <t>852</t>
  </si>
  <si>
    <t>857</t>
  </si>
  <si>
    <t>858</t>
  </si>
  <si>
    <t>859</t>
  </si>
  <si>
    <t>860</t>
  </si>
  <si>
    <t>861</t>
  </si>
  <si>
    <t>869</t>
  </si>
  <si>
    <t>Batch_Analysis_06072026133256.pdf</t>
  </si>
  <si>
    <t>871</t>
  </si>
  <si>
    <t>880</t>
  </si>
  <si>
    <t>Batch_Analysis_05082026_B35.pdf</t>
  </si>
  <si>
    <t>881</t>
  </si>
  <si>
    <t>487Sa</t>
  </si>
  <si>
    <t>487Sb</t>
  </si>
  <si>
    <t>487Sc</t>
  </si>
  <si>
    <t>498Sa</t>
  </si>
  <si>
    <t>498Sb</t>
  </si>
  <si>
    <t>498Sb1</t>
  </si>
  <si>
    <t>498Sb2</t>
  </si>
  <si>
    <t>498Sc</t>
  </si>
  <si>
    <t>499S</t>
  </si>
  <si>
    <t>504S</t>
  </si>
  <si>
    <t>505S</t>
  </si>
  <si>
    <t>506S</t>
  </si>
  <si>
    <t>508Sa</t>
  </si>
  <si>
    <t>508Sb</t>
  </si>
  <si>
    <t>508Sc</t>
  </si>
  <si>
    <t>508Sd</t>
  </si>
  <si>
    <t>509Sa</t>
  </si>
  <si>
    <t>https://ucloud.univie.ac.at/index.php/f/1544896277</t>
  </si>
  <si>
    <t>509Sb</t>
  </si>
  <si>
    <t>511Sa</t>
  </si>
  <si>
    <t>511Sb</t>
  </si>
  <si>
    <t>Batch_Analysis_22072026_B35.pdf</t>
  </si>
  <si>
    <t>511Sc</t>
  </si>
  <si>
    <t>511Sd</t>
  </si>
  <si>
    <t>511Se</t>
  </si>
  <si>
    <t>515S</t>
  </si>
  <si>
    <t>516S</t>
  </si>
  <si>
    <t>Batch_Analysis_29072026_B35.pdf</t>
  </si>
  <si>
    <t>518Sa</t>
  </si>
  <si>
    <t>518Sb</t>
  </si>
  <si>
    <t>521S</t>
  </si>
  <si>
    <t>522S</t>
  </si>
  <si>
    <t>523Sa</t>
  </si>
  <si>
    <t>523Sb</t>
  </si>
  <si>
    <t>800a</t>
  </si>
  <si>
    <t>Batch_Analysis_05062026132346.pdf</t>
  </si>
  <si>
    <t>800b</t>
  </si>
  <si>
    <t>800c</t>
  </si>
  <si>
    <t>800d</t>
  </si>
  <si>
    <t>801a</t>
  </si>
  <si>
    <t>801b</t>
  </si>
  <si>
    <t>801c</t>
  </si>
  <si>
    <t>825a</t>
  </si>
  <si>
    <t>825b</t>
  </si>
  <si>
    <t>841a</t>
  </si>
  <si>
    <t>Batch_Analysis_05062026133431.pdf</t>
  </si>
  <si>
    <t>841b</t>
  </si>
  <si>
    <t>841c</t>
  </si>
  <si>
    <t>842K</t>
  </si>
  <si>
    <t>843a</t>
  </si>
  <si>
    <t>843b</t>
  </si>
  <si>
    <t>843c</t>
  </si>
  <si>
    <t>853a</t>
  </si>
  <si>
    <t/>
  </si>
  <si>
    <t>853a4h</t>
  </si>
  <si>
    <t>853a8h</t>
  </si>
  <si>
    <t>853ab4mo</t>
  </si>
  <si>
    <t>853b</t>
  </si>
  <si>
    <t>853b4h</t>
  </si>
  <si>
    <t>853b8h</t>
  </si>
  <si>
    <t>853bb4mo</t>
  </si>
  <si>
    <t>853c</t>
  </si>
  <si>
    <t>853c4h</t>
  </si>
  <si>
    <t>853c8h</t>
  </si>
  <si>
    <t>853cb4mo</t>
  </si>
  <si>
    <t>854a</t>
  </si>
  <si>
    <t xml:space="preserve">Open Cytogram</t>
  </si>
  <si>
    <t>854a0h</t>
  </si>
  <si>
    <t>854a4h</t>
  </si>
  <si>
    <t>854a8h</t>
  </si>
  <si>
    <t>854ab4mo</t>
  </si>
  <si>
    <t>854b</t>
  </si>
  <si>
    <t>854b0h</t>
  </si>
  <si>
    <t>854b4h</t>
  </si>
  <si>
    <t>854b8h</t>
  </si>
  <si>
    <t>854bb4mo</t>
  </si>
  <si>
    <t>854c</t>
  </si>
  <si>
    <t>854c0h</t>
  </si>
  <si>
    <t>854c4h</t>
  </si>
  <si>
    <t>854c8h</t>
  </si>
  <si>
    <t>854cb4mo</t>
  </si>
  <si>
    <t>870a</t>
  </si>
  <si>
    <t>870b</t>
  </si>
  <si>
    <t>874b</t>
  </si>
  <si>
    <t>875a</t>
  </si>
  <si>
    <t>875b</t>
  </si>
  <si>
    <t>876a</t>
  </si>
  <si>
    <t>876b</t>
  </si>
  <si>
    <t>879a</t>
  </si>
  <si>
    <t>879b</t>
  </si>
  <si>
    <t>https://ucloud.univie.ac.at/index.php/f/1568321929</t>
  </si>
  <si>
    <t>AB29a</t>
  </si>
  <si>
    <t>AB29b</t>
  </si>
  <si>
    <t>AB30a</t>
  </si>
  <si>
    <t>AB30b</t>
  </si>
  <si>
    <t>AB33a</t>
  </si>
  <si>
    <t>AB33b</t>
  </si>
  <si>
    <t>AB34b</t>
  </si>
  <si>
    <t>AB37a</t>
  </si>
  <si>
    <t>AB37b</t>
  </si>
  <si>
    <t>AB38b</t>
  </si>
  <si>
    <t>J1</t>
  </si>
  <si>
    <t>Batch_Analysis_B35_data.pdf</t>
  </si>
  <si>
    <t>JB35old</t>
  </si>
  <si>
    <t>L498Sa</t>
  </si>
  <si>
    <t>L498Sb</t>
  </si>
  <si>
    <t>L498Sc</t>
  </si>
  <si>
    <t>Lcntr</t>
  </si>
  <si>
    <t>LRNAse</t>
  </si>
  <si>
    <t>test1</t>
  </si>
  <si>
    <t>test2</t>
  </si>
  <si>
    <t>test3</t>
  </si>
  <si>
    <t>test4</t>
  </si>
  <si>
    <t>test5</t>
  </si>
  <si>
    <t>test6</t>
  </si>
  <si>
    <t>unit2</t>
  </si>
  <si>
    <t>unit2-t0</t>
  </si>
  <si>
    <t>unit2ctrl</t>
  </si>
  <si>
    <t>unit2RNase</t>
  </si>
  <si>
    <t>unit4</t>
  </si>
  <si>
    <t>unit4-30c24h</t>
  </si>
  <si>
    <t>unit4-t0</t>
  </si>
  <si>
    <t>unit4ctrl</t>
  </si>
  <si>
    <t>unit4RNase</t>
  </si>
  <si>
    <t xml:space="preserve">Izemo mL-1</t>
  </si>
  <si>
    <t xml:space="preserve">Izemo %</t>
  </si>
  <si>
    <t>814</t>
  </si>
  <si>
    <t>Batch_Analysis_15052026132647.pdf</t>
  </si>
  <si>
    <t>815</t>
  </si>
  <si>
    <t>818</t>
  </si>
  <si>
    <t>819</t>
  </si>
  <si>
    <t>836</t>
  </si>
  <si>
    <t>Batch_Analysis_10062026110438.pdf</t>
  </si>
  <si>
    <t>837</t>
  </si>
  <si>
    <t>Batch_Analysis_17062026144213.pdf</t>
  </si>
  <si>
    <t>838</t>
  </si>
  <si>
    <t>839</t>
  </si>
  <si>
    <t>840</t>
  </si>
  <si>
    <t>847</t>
  </si>
  <si>
    <t>848</t>
  </si>
  <si>
    <t>862</t>
  </si>
  <si>
    <t>Batch_Analysis_01072026112750.pdf</t>
  </si>
  <si>
    <t>863</t>
  </si>
  <si>
    <t>864</t>
  </si>
  <si>
    <t>865</t>
  </si>
  <si>
    <t>866</t>
  </si>
  <si>
    <t>867</t>
  </si>
  <si>
    <t>868</t>
  </si>
  <si>
    <t>872</t>
  </si>
  <si>
    <t>Batch_Analysis_06072026115042.pdf</t>
  </si>
  <si>
    <t>Batch_Analysis_10072026103042.pdf</t>
  </si>
  <si>
    <t>Batch_Analysis_22072026_B36.pdf</t>
  </si>
  <si>
    <t>873</t>
  </si>
  <si>
    <t>Batch_Analysis_29072026_B36.pdf</t>
  </si>
  <si>
    <t>882</t>
  </si>
  <si>
    <t>Batch_Analysis_05082026_B36.pdf</t>
  </si>
  <si>
    <t>883</t>
  </si>
  <si>
    <t>486S</t>
  </si>
  <si>
    <t>500S</t>
  </si>
  <si>
    <t>501S</t>
  </si>
  <si>
    <t>502S</t>
  </si>
  <si>
    <t>503S</t>
  </si>
  <si>
    <t>507Sa</t>
  </si>
  <si>
    <t>507Sb</t>
  </si>
  <si>
    <t>510Sa</t>
  </si>
  <si>
    <t>510Sb</t>
  </si>
  <si>
    <t>512S</t>
  </si>
  <si>
    <t>Batch_Analysis_17072026105436.pdf</t>
  </si>
  <si>
    <t>513S</t>
  </si>
  <si>
    <t>514S</t>
  </si>
  <si>
    <t>519Sa</t>
  </si>
  <si>
    <t>519Sb</t>
  </si>
  <si>
    <t>520S</t>
  </si>
  <si>
    <t>524Sa</t>
  </si>
  <si>
    <t>524Sb</t>
  </si>
  <si>
    <t>525S</t>
  </si>
  <si>
    <t>https://ucloud.univie.ac.at/index.php/f/1568324104</t>
  </si>
  <si>
    <t>526S</t>
  </si>
  <si>
    <t>802a</t>
  </si>
  <si>
    <t>Batch_Analysis_05062026114759.pdf</t>
  </si>
  <si>
    <t>802b</t>
  </si>
  <si>
    <t>802c</t>
  </si>
  <si>
    <t>802d</t>
  </si>
  <si>
    <t>803a</t>
  </si>
  <si>
    <t>803b</t>
  </si>
  <si>
    <t>803c</t>
  </si>
  <si>
    <t>820a</t>
  </si>
  <si>
    <t>820b</t>
  </si>
  <si>
    <t>821a</t>
  </si>
  <si>
    <t>821b</t>
  </si>
  <si>
    <t>821c</t>
  </si>
  <si>
    <t>826a</t>
  </si>
  <si>
    <t>826b</t>
  </si>
  <si>
    <t>844a</t>
  </si>
  <si>
    <t>Batch_Analysis_05062026120042.pdf</t>
  </si>
  <si>
    <t>844b</t>
  </si>
  <si>
    <t>844c</t>
  </si>
  <si>
    <t>844d</t>
  </si>
  <si>
    <t>845a</t>
  </si>
  <si>
    <t>845b</t>
  </si>
  <si>
    <t>845c</t>
  </si>
  <si>
    <t>846a</t>
  </si>
  <si>
    <t>846b</t>
  </si>
  <si>
    <t>855a</t>
  </si>
  <si>
    <t>Batch_Analysis_19062026103820.pdf</t>
  </si>
  <si>
    <t>855a4h</t>
  </si>
  <si>
    <t>855a8h</t>
  </si>
  <si>
    <t>855ab4mo</t>
  </si>
  <si>
    <t>855b</t>
  </si>
  <si>
    <t>855b4h</t>
  </si>
  <si>
    <t>855b8h</t>
  </si>
  <si>
    <t>855bb4mo</t>
  </si>
  <si>
    <t>855c</t>
  </si>
  <si>
    <t>855c4h</t>
  </si>
  <si>
    <t>855c8h</t>
  </si>
  <si>
    <t>855cb4mo</t>
  </si>
  <si>
    <t>856a</t>
  </si>
  <si>
    <t>856a0h</t>
  </si>
  <si>
    <t>856a4h</t>
  </si>
  <si>
    <t>856a8h</t>
  </si>
  <si>
    <t>856ab4mo</t>
  </si>
  <si>
    <t>856b</t>
  </si>
  <si>
    <t>856b0h</t>
  </si>
  <si>
    <t>856b4h</t>
  </si>
  <si>
    <t>856b8h</t>
  </si>
  <si>
    <t>856bb4mo</t>
  </si>
  <si>
    <t>856c</t>
  </si>
  <si>
    <t>856c0h</t>
  </si>
  <si>
    <t>856c4h</t>
  </si>
  <si>
    <t>856c8h</t>
  </si>
  <si>
    <t>856cb4mo</t>
  </si>
  <si>
    <t>874a</t>
  </si>
  <si>
    <t>877b</t>
  </si>
  <si>
    <t>878a</t>
  </si>
  <si>
    <t>878b</t>
  </si>
  <si>
    <t>https://ucloud.univie.ac.at/index.php/f/1568323194</t>
  </si>
  <si>
    <t>884a</t>
  </si>
  <si>
    <t>884b</t>
  </si>
  <si>
    <t>AB27a</t>
  </si>
  <si>
    <t>AB27b</t>
  </si>
  <si>
    <t>AB28a</t>
  </si>
  <si>
    <t>AB31a</t>
  </si>
  <si>
    <t>AB31b</t>
  </si>
  <si>
    <t>AB32a</t>
  </si>
  <si>
    <t>AB35a</t>
  </si>
  <si>
    <t>AB35b</t>
  </si>
  <si>
    <t>AB36a</t>
  </si>
  <si>
    <t>AB39a</t>
  </si>
  <si>
    <t>AB39b</t>
  </si>
  <si>
    <t>AB40a</t>
  </si>
  <si>
    <t>J2</t>
  </si>
  <si>
    <t>Batch_Analysis_B36_data.pdf</t>
  </si>
  <si>
    <t>JB36old</t>
  </si>
  <si>
    <t>L503S</t>
  </si>
  <si>
    <t>L846a</t>
  </si>
  <si>
    <t>LRNase</t>
  </si>
  <si>
    <t>reactor10unit1</t>
  </si>
  <si>
    <t>reactor10unit3</t>
  </si>
  <si>
    <t>unit1</t>
  </si>
  <si>
    <t>unit2-t6</t>
  </si>
  <si>
    <t>b35</t>
  </si>
  <si>
    <t>unit3</t>
  </si>
  <si>
    <t>unit4-t6</t>
  </si>
  <si>
    <t xml:space="preserve"/>
  </si>
  <si>
    <t xml:space="preserve">Treatment</t>
  </si>
  <si>
    <t xml:space="preserve">811</t>
  </si>
  <si>
    <t xml:space="preserve">17</t>
  </si>
  <si>
    <t xml:space="preserve">Batch_Analysis_15052026140518.pdf</t>
  </si>
  <si>
    <t xml:space="preserve">812</t>
  </si>
  <si>
    <t xml:space="preserve">813</t>
  </si>
  <si>
    <t xml:space="preserve">816</t>
  </si>
  <si>
    <t xml:space="preserve">817</t>
  </si>
  <si>
    <t xml:space="preserve">822</t>
  </si>
  <si>
    <t xml:space="preserve">11</t>
  </si>
  <si>
    <t xml:space="preserve">823</t>
  </si>
  <si>
    <t xml:space="preserve">824</t>
  </si>
  <si>
    <t xml:space="preserve">833</t>
  </si>
  <si>
    <t xml:space="preserve">Batch_Analysis_10062026104625.pdf</t>
  </si>
  <si>
    <t xml:space="preserve">834</t>
  </si>
  <si>
    <t xml:space="preserve">835</t>
  </si>
  <si>
    <t xml:space="preserve">841</t>
  </si>
  <si>
    <t xml:space="preserve">18</t>
  </si>
  <si>
    <t xml:space="preserve">Batch_Analysis_17062026152110.pdf</t>
  </si>
  <si>
    <t xml:space="preserve">842</t>
  </si>
  <si>
    <t xml:space="preserve">843</t>
  </si>
  <si>
    <t xml:space="preserve">844</t>
  </si>
  <si>
    <t xml:space="preserve">845</t>
  </si>
  <si>
    <t xml:space="preserve">850</t>
  </si>
  <si>
    <t xml:space="preserve">0</t>
  </si>
  <si>
    <t xml:space="preserve">7</t>
  </si>
  <si>
    <t xml:space="preserve">Batch_Analysis_19062026103002.pdf</t>
  </si>
  <si>
    <t xml:space="preserve">14</t>
  </si>
  <si>
    <t xml:space="preserve">Batch_Analysis_01072026113912.pdf</t>
  </si>
  <si>
    <t xml:space="preserve">21</t>
  </si>
  <si>
    <t xml:space="preserve">Batch_Analysis_10072026105548.pdf</t>
  </si>
  <si>
    <t xml:space="preserve">28</t>
  </si>
  <si>
    <t xml:space="preserve">Batch_Analysis_17072026132826.pdf</t>
  </si>
  <si>
    <t xml:space="preserve">851</t>
  </si>
  <si>
    <t xml:space="preserve">852</t>
  </si>
  <si>
    <t xml:space="preserve">857</t>
  </si>
  <si>
    <t xml:space="preserve">13</t>
  </si>
  <si>
    <t xml:space="preserve">858</t>
  </si>
  <si>
    <t xml:space="preserve">859</t>
  </si>
  <si>
    <t xml:space="preserve">860</t>
  </si>
  <si>
    <t xml:space="preserve">861</t>
  </si>
  <si>
    <t xml:space="preserve">869</t>
  </si>
  <si>
    <t xml:space="preserve">5</t>
  </si>
  <si>
    <t xml:space="preserve">Batch_Analysis_06072026133256.pdf</t>
  </si>
  <si>
    <t xml:space="preserve">12</t>
  </si>
  <si>
    <t xml:space="preserve">871</t>
  </si>
  <si>
    <t xml:space="preserve">880</t>
  </si>
  <si>
    <t xml:space="preserve">Batch_Analysis_05082026_B35.pdf</t>
  </si>
  <si>
    <t xml:space="preserve">Batch_Analysis_14082026_B35.pdf</t>
  </si>
  <si>
    <t xml:space="preserve">881</t>
  </si>
  <si>
    <t xml:space="preserve">487Sa</t>
  </si>
  <si>
    <t xml:space="preserve">487Sb</t>
  </si>
  <si>
    <t xml:space="preserve">487Sc</t>
  </si>
  <si>
    <t xml:space="preserve">498Sa</t>
  </si>
  <si>
    <t xml:space="preserve">498Sb</t>
  </si>
  <si>
    <t xml:space="preserve">498Sb1</t>
  </si>
  <si>
    <t xml:space="preserve">26</t>
  </si>
  <si>
    <t xml:space="preserve">498Sb2</t>
  </si>
  <si>
    <t xml:space="preserve">498Sc</t>
  </si>
  <si>
    <t xml:space="preserve">499S</t>
  </si>
  <si>
    <t xml:space="preserve">504S</t>
  </si>
  <si>
    <t xml:space="preserve">19</t>
  </si>
  <si>
    <t xml:space="preserve">505S</t>
  </si>
  <si>
    <t xml:space="preserve">506S</t>
  </si>
  <si>
    <t xml:space="preserve">508Sa</t>
  </si>
  <si>
    <t xml:space="preserve">508Sb</t>
  </si>
  <si>
    <t xml:space="preserve">508Sc</t>
  </si>
  <si>
    <t xml:space="preserve">508Sd</t>
  </si>
  <si>
    <t xml:space="preserve">509Sa</t>
  </si>
  <si>
    <t xml:space="preserve">https://ucloud.univie.ac.at/index.php/f/1544896277</t>
  </si>
  <si>
    <t xml:space="preserve">509Sb</t>
  </si>
  <si>
    <t xml:space="preserve">511Sa</t>
  </si>
  <si>
    <t xml:space="preserve">8</t>
  </si>
  <si>
    <t xml:space="preserve">15</t>
  </si>
  <si>
    <t xml:space="preserve">511Sb</t>
  </si>
  <si>
    <t xml:space="preserve">Batch_Analysis_22072026_B35.pdf</t>
  </si>
  <si>
    <t xml:space="preserve">511Sc</t>
  </si>
  <si>
    <t xml:space="preserve">511Sd</t>
  </si>
  <si>
    <t xml:space="preserve">511Se</t>
  </si>
  <si>
    <t xml:space="preserve">515S</t>
  </si>
  <si>
    <t xml:space="preserve">516S</t>
  </si>
  <si>
    <t xml:space="preserve">Batch_Analysis_29072026_B35.pdf</t>
  </si>
  <si>
    <t xml:space="preserve">518Sa</t>
  </si>
  <si>
    <t xml:space="preserve">518Sb</t>
  </si>
  <si>
    <t xml:space="preserve">521S</t>
  </si>
  <si>
    <t xml:space="preserve">522S</t>
  </si>
  <si>
    <t xml:space="preserve">523Sa</t>
  </si>
  <si>
    <t xml:space="preserve">523Sb</t>
  </si>
  <si>
    <t xml:space="preserve">527S</t>
  </si>
  <si>
    <t xml:space="preserve">528S</t>
  </si>
  <si>
    <t xml:space="preserve">800a</t>
  </si>
  <si>
    <t xml:space="preserve">38</t>
  </si>
  <si>
    <t xml:space="preserve">47</t>
  </si>
  <si>
    <t xml:space="preserve">Batch_Analysis_05062026132346.pdf</t>
  </si>
  <si>
    <t xml:space="preserve">800b</t>
  </si>
  <si>
    <t xml:space="preserve">800c</t>
  </si>
  <si>
    <t xml:space="preserve">800d</t>
  </si>
  <si>
    <t xml:space="preserve">801a</t>
  </si>
  <si>
    <t xml:space="preserve">801b</t>
  </si>
  <si>
    <t xml:space="preserve">801c</t>
  </si>
  <si>
    <t xml:space="preserve">825a</t>
  </si>
  <si>
    <t xml:space="preserve">16</t>
  </si>
  <si>
    <t xml:space="preserve">825b</t>
  </si>
  <si>
    <t xml:space="preserve">841a</t>
  </si>
  <si>
    <t xml:space="preserve">Batch_Analysis_05062026133431.pdf</t>
  </si>
  <si>
    <t xml:space="preserve">1</t>
  </si>
  <si>
    <t xml:space="preserve">3</t>
  </si>
  <si>
    <t xml:space="preserve">10</t>
  </si>
  <si>
    <t xml:space="preserve">20</t>
  </si>
  <si>
    <t xml:space="preserve">36</t>
  </si>
  <si>
    <t xml:space="preserve">45</t>
  </si>
  <si>
    <t xml:space="preserve">841b</t>
  </si>
  <si>
    <t xml:space="preserve">841c</t>
  </si>
  <si>
    <t xml:space="preserve">842K</t>
  </si>
  <si>
    <t xml:space="preserve">843a</t>
  </si>
  <si>
    <t xml:space="preserve">843b</t>
  </si>
  <si>
    <t xml:space="preserve">843c</t>
  </si>
  <si>
    <t xml:space="preserve">853a</t>
  </si>
  <si>
    <t xml:space="preserve">25</t>
  </si>
  <si>
    <t xml:space="preserve">22</t>
  </si>
  <si>
    <t xml:space="preserve">32</t>
  </si>
  <si>
    <t xml:space="preserve">43</t>
  </si>
  <si>
    <t xml:space="preserve">853a4h</t>
  </si>
  <si>
    <t xml:space="preserve">853a8h</t>
  </si>
  <si>
    <t xml:space="preserve">853ab4mo</t>
  </si>
  <si>
    <t xml:space="preserve">853b</t>
  </si>
  <si>
    <t xml:space="preserve">853b4h</t>
  </si>
  <si>
    <t xml:space="preserve">853b8h</t>
  </si>
  <si>
    <t xml:space="preserve">853bb4mo</t>
  </si>
  <si>
    <t xml:space="preserve">853c</t>
  </si>
  <si>
    <t xml:space="preserve">853c4h</t>
  </si>
  <si>
    <t xml:space="preserve">853c8h</t>
  </si>
  <si>
    <t xml:space="preserve">853cb4mo</t>
  </si>
  <si>
    <t xml:space="preserve">854a</t>
  </si>
  <si>
    <t xml:space="preserve">854a0h</t>
  </si>
  <si>
    <t xml:space="preserve">854a4h</t>
  </si>
  <si>
    <t xml:space="preserve">854a8h</t>
  </si>
  <si>
    <t xml:space="preserve">854ab4mo</t>
  </si>
  <si>
    <t xml:space="preserve">854b</t>
  </si>
  <si>
    <t xml:space="preserve">854b0h</t>
  </si>
  <si>
    <t xml:space="preserve">854b4h</t>
  </si>
  <si>
    <t xml:space="preserve">854b8h</t>
  </si>
  <si>
    <t xml:space="preserve">854bb4mo</t>
  </si>
  <si>
    <t xml:space="preserve">854c</t>
  </si>
  <si>
    <t xml:space="preserve">854c0h</t>
  </si>
  <si>
    <t xml:space="preserve">854c4h</t>
  </si>
  <si>
    <t xml:space="preserve">854c8h</t>
  </si>
  <si>
    <t xml:space="preserve">854cb4mo</t>
  </si>
  <si>
    <t xml:space="preserve">870a</t>
  </si>
  <si>
    <t xml:space="preserve">870b</t>
  </si>
  <si>
    <t xml:space="preserve">874b</t>
  </si>
  <si>
    <t xml:space="preserve">875a</t>
  </si>
  <si>
    <t xml:space="preserve">875b</t>
  </si>
  <si>
    <t xml:space="preserve">876a</t>
  </si>
  <si>
    <t xml:space="preserve">876b</t>
  </si>
  <si>
    <t xml:space="preserve">879a</t>
  </si>
  <si>
    <t xml:space="preserve">879b</t>
  </si>
  <si>
    <t xml:space="preserve">https://ucloud.univie.ac.at/index.php/f/1568321929</t>
  </si>
  <si>
    <t xml:space="preserve">885a</t>
  </si>
  <si>
    <t xml:space="preserve">885b</t>
  </si>
  <si>
    <t xml:space="preserve">885c</t>
  </si>
  <si>
    <t xml:space="preserve">AB29a</t>
  </si>
  <si>
    <t xml:space="preserve">6</t>
  </si>
  <si>
    <t xml:space="preserve">AB29b</t>
  </si>
  <si>
    <t xml:space="preserve">AB30a</t>
  </si>
  <si>
    <t xml:space="preserve">AB30b</t>
  </si>
  <si>
    <t xml:space="preserve">4</t>
  </si>
  <si>
    <t xml:space="preserve">AB33a</t>
  </si>
  <si>
    <t xml:space="preserve">AB33b</t>
  </si>
  <si>
    <t xml:space="preserve">AB34b</t>
  </si>
  <si>
    <t xml:space="preserve">AB37a</t>
  </si>
  <si>
    <t xml:space="preserve">AB37b</t>
  </si>
  <si>
    <t xml:space="preserve">AB38b</t>
  </si>
  <si>
    <t xml:space="preserve">AB41a</t>
  </si>
  <si>
    <t xml:space="preserve">AB41b</t>
  </si>
  <si>
    <t xml:space="preserve">AB42b</t>
  </si>
  <si>
    <t xml:space="preserve">gas1</t>
  </si>
  <si>
    <t xml:space="preserve">gas2</t>
  </si>
  <si>
    <t xml:space="preserve">gas3</t>
  </si>
  <si>
    <t xml:space="preserve">gas4</t>
  </si>
  <si>
    <t xml:space="preserve">gas5</t>
  </si>
  <si>
    <t xml:space="preserve">gas6</t>
  </si>
  <si>
    <t xml:space="preserve">J1</t>
  </si>
  <si>
    <t xml:space="preserve">Batch_Analysis_B35_data.pdf</t>
  </si>
  <si>
    <t xml:space="preserve">J3</t>
  </si>
  <si>
    <t xml:space="preserve">JB35old</t>
  </si>
  <si>
    <t xml:space="preserve">L498Sa</t>
  </si>
  <si>
    <t xml:space="preserve">L498Sb</t>
  </si>
  <si>
    <t xml:space="preserve">L498Sc</t>
  </si>
  <si>
    <t xml:space="preserve">Lcntr</t>
  </si>
  <si>
    <t xml:space="preserve">LRNAse</t>
  </si>
  <si>
    <t xml:space="preserve">mol001mm</t>
  </si>
  <si>
    <t xml:space="preserve">mol005mm</t>
  </si>
  <si>
    <t xml:space="preserve">mol01mm</t>
  </si>
  <si>
    <t xml:space="preserve">mol025mm</t>
  </si>
  <si>
    <t xml:space="preserve">mol05mm</t>
  </si>
  <si>
    <t xml:space="preserve">mol1mm</t>
  </si>
  <si>
    <t xml:space="preserve">mol2mm</t>
  </si>
  <si>
    <t xml:space="preserve">test1</t>
  </si>
  <si>
    <t xml:space="preserve">test2</t>
  </si>
  <si>
    <t xml:space="preserve">test3</t>
  </si>
  <si>
    <t xml:space="preserve">test4</t>
  </si>
  <si>
    <t xml:space="preserve">test5</t>
  </si>
  <si>
    <t xml:space="preserve">test6</t>
  </si>
  <si>
    <t xml:space="preserve">unit2</t>
  </si>
  <si>
    <t xml:space="preserve">unit2-t0</t>
  </si>
  <si>
    <t xml:space="preserve">unit2ctrl</t>
  </si>
  <si>
    <t xml:space="preserve">unit2RNase</t>
  </si>
  <si>
    <t xml:space="preserve">unit4</t>
  </si>
  <si>
    <t xml:space="preserve">unit4-30c24h</t>
  </si>
  <si>
    <t xml:space="preserve">unit4-t0</t>
  </si>
  <si>
    <t xml:space="preserve">unit4ctrl</t>
  </si>
  <si>
    <t xml:space="preserve">unit4RNase</t>
  </si>
  <si>
    <t xml:space="preserve">814</t>
  </si>
  <si>
    <t xml:space="preserve">Batch_Analysis_15052026132647.pdf</t>
  </si>
  <si>
    <t xml:space="preserve">815</t>
  </si>
  <si>
    <t xml:space="preserve">818</t>
  </si>
  <si>
    <t xml:space="preserve">819</t>
  </si>
  <si>
    <t xml:space="preserve">836</t>
  </si>
  <si>
    <t xml:space="preserve">Batch_Analysis_10062026110438.pdf</t>
  </si>
  <si>
    <t xml:space="preserve">837</t>
  </si>
  <si>
    <t xml:space="preserve">29</t>
  </si>
  <si>
    <t xml:space="preserve">Batch_Analysis_17062026144213.pdf</t>
  </si>
  <si>
    <t xml:space="preserve">838</t>
  </si>
  <si>
    <t xml:space="preserve">839</t>
  </si>
  <si>
    <t xml:space="preserve">840</t>
  </si>
  <si>
    <t xml:space="preserve">847</t>
  </si>
  <si>
    <t xml:space="preserve">848</t>
  </si>
  <si>
    <t xml:space="preserve">862</t>
  </si>
  <si>
    <t xml:space="preserve">Batch_Analysis_01072026112750.pdf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</si>
  <si>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</si>
  <si>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</si>
  <si>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</si>
  <si>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</si>
  <si>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</si>
  <si>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</si>
  <si>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872</t>
  </si>
  <si>
    <t xml:space="preserve">Batch_Analysis_06072026115042.pdf</t>
  </si>
  <si>
    <t xml:space="preserve">Batch_Analysis_10072026103042.pdf</t>
  </si>
  <si>
    <t xml:space="preserve">Batch_Analysis_22072026_B36.pdf</t>
  </si>
  <si>
    <t xml:space="preserve">873</t>
  </si>
  <si>
    <t xml:space="preserve">Batch_Analysis_29072026_B36.pdf</t>
  </si>
  <si>
    <t xml:space="preserve">882</t>
  </si>
  <si>
    <t xml:space="preserve">Batch_Analysis_05082026_B36.pdf</t>
  </si>
  <si>
    <t xml:space="preserve">Batch_Analysis_14082026_B36.pdf</t>
  </si>
  <si>
    <t xml:space="preserve">883</t>
  </si>
  <si>
    <t xml:space="preserve">486S</t>
  </si>
  <si>
    <t xml:space="preserve">500S</t>
  </si>
  <si>
    <t xml:space="preserve">501S</t>
  </si>
  <si>
    <t xml:space="preserve">502S</t>
  </si>
  <si>
    <t xml:space="preserve">503S</t>
  </si>
  <si>
    <t xml:space="preserve">507Sa</t>
  </si>
  <si>
    <t xml:space="preserve">507Sb</t>
  </si>
  <si>
    <t xml:space="preserve">510Sa</t>
  </si>
  <si>
    <t xml:space="preserve">510Sb</t>
  </si>
  <si>
    <t xml:space="preserve">512S</t>
  </si>
  <si>
    <t xml:space="preserve">Batch_Analysis_17072026105436.pdf</t>
  </si>
  <si>
    <t xml:space="preserve">513S</t>
  </si>
  <si>
    <t xml:space="preserve">514S</t>
  </si>
  <si>
    <t xml:space="preserve">519Sa</t>
  </si>
  <si>
    <t xml:space="preserve">519Sb</t>
  </si>
  <si>
    <t xml:space="preserve">520S</t>
  </si>
  <si>
    <t xml:space="preserve">524Sa</t>
  </si>
  <si>
    <t xml:space="preserve">524Sb</t>
  </si>
  <si>
    <t xml:space="preserve">525S</t>
  </si>
  <si>
    <t xml:space="preserve">https://ucloud.univie.ac.at/index.php/f/1568324104</t>
  </si>
  <si>
    <t xml:space="preserve">526S</t>
  </si>
  <si>
    <t xml:space="preserve">802a</t>
  </si>
  <si>
    <t xml:space="preserve">Batch_Analysis_05062026114759.pdf</t>
  </si>
  <si>
    <t xml:space="preserve">802b</t>
  </si>
  <si>
    <t xml:space="preserve">802c</t>
  </si>
  <si>
    <t xml:space="preserve">802d</t>
  </si>
  <si>
    <t xml:space="preserve">803a</t>
  </si>
  <si>
    <t xml:space="preserve">803b</t>
  </si>
  <si>
    <t xml:space="preserve">803c</t>
  </si>
  <si>
    <t xml:space="preserve">820a</t>
  </si>
  <si>
    <t xml:space="preserve">820b</t>
  </si>
  <si>
    <t xml:space="preserve">821a</t>
  </si>
  <si>
    <t xml:space="preserve">821b</t>
  </si>
  <si>
    <t xml:space="preserve">821c</t>
  </si>
  <si>
    <t xml:space="preserve">826a</t>
  </si>
  <si>
    <t xml:space="preserve">826b</t>
  </si>
  <si>
    <t xml:space="preserve">844a</t>
  </si>
  <si>
    <t xml:space="preserve">Batch_Analysis_05062026120042.pdf</t>
  </si>
  <si>
    <t xml:space="preserve">844b</t>
  </si>
  <si>
    <t xml:space="preserve">844c</t>
  </si>
  <si>
    <t xml:space="preserve">844d</t>
  </si>
  <si>
    <t xml:space="preserve">845a</t>
  </si>
  <si>
    <t xml:space="preserve">845b</t>
  </si>
  <si>
    <t xml:space="preserve">845c</t>
  </si>
  <si>
    <t xml:space="preserve">846a</t>
  </si>
  <si>
    <t xml:space="preserve">846b</t>
  </si>
  <si>
    <t xml:space="preserve">855a</t>
  </si>
  <si>
    <t xml:space="preserve">Batch_Analysis_19062026103820.pdf</t>
  </si>
  <si>
    <t xml:space="preserve">855a4h</t>
  </si>
  <si>
    <t xml:space="preserve">855a8h</t>
  </si>
  <si>
    <t xml:space="preserve">855ab4mo</t>
  </si>
  <si>
    <t xml:space="preserve">855b</t>
  </si>
  <si>
    <t xml:space="preserve">855b4h</t>
  </si>
  <si>
    <t xml:space="preserve">855b8h</t>
  </si>
  <si>
    <t xml:space="preserve">855bb4mo</t>
  </si>
  <si>
    <t xml:space="preserve">855c</t>
  </si>
  <si>
    <t xml:space="preserve">855c4h</t>
  </si>
  <si>
    <t xml:space="preserve">855c8h</t>
  </si>
  <si>
    <t xml:space="preserve">855cb4mo</t>
  </si>
  <si>
    <t xml:space="preserve">856a</t>
  </si>
  <si>
    <t xml:space="preserve">856a0h</t>
  </si>
  <si>
    <t xml:space="preserve">856a4h</t>
  </si>
  <si>
    <t xml:space="preserve">856a8h</t>
  </si>
  <si>
    <t xml:space="preserve">856ab4mo</t>
  </si>
  <si>
    <t xml:space="preserve">856b</t>
  </si>
  <si>
    <t xml:space="preserve">856b0h</t>
  </si>
  <si>
    <t xml:space="preserve">856b4h</t>
  </si>
  <si>
    <t xml:space="preserve">856b8h</t>
  </si>
  <si>
    <t xml:space="preserve">856bb4mo</t>
  </si>
  <si>
    <t xml:space="preserve">856c</t>
  </si>
  <si>
    <t xml:space="preserve">856c0h</t>
  </si>
  <si>
    <t xml:space="preserve">856c4h</t>
  </si>
  <si>
    <t xml:space="preserve">856c8h</t>
  </si>
  <si>
    <t xml:space="preserve">856cb4mo</t>
  </si>
  <si>
    <t xml:space="preserve">874a</t>
  </si>
  <si>
    <t xml:space="preserve">877b</t>
  </si>
  <si>
    <t xml:space="preserve">878a</t>
  </si>
  <si>
    <t xml:space="preserve">878b</t>
  </si>
  <si>
    <t xml:space="preserve">https://ucloud.univie.ac.at/index.php/f/1568323194</t>
  </si>
  <si>
    <t xml:space="preserve">884a</t>
  </si>
  <si>
    <t xml:space="preserve">884b</t>
  </si>
  <si>
    <t xml:space="preserve">AB27a</t>
  </si>
  <si>
    <t xml:space="preserve">AB27b</t>
  </si>
  <si>
    <t xml:space="preserve">24</t>
  </si>
  <si>
    <t xml:space="preserve">AB28a</t>
  </si>
  <si>
    <t xml:space="preserve">AB31a</t>
  </si>
  <si>
    <t xml:space="preserve">AB31b</t>
  </si>
  <si>
    <t xml:space="preserve">AB32a</t>
  </si>
  <si>
    <t xml:space="preserve">AB35a</t>
  </si>
  <si>
    <t xml:space="preserve">AB35b</t>
  </si>
  <si>
    <t xml:space="preserve">AB36a</t>
  </si>
  <si>
    <t xml:space="preserve">AB39a</t>
  </si>
  <si>
    <t xml:space="preserve">AB39b</t>
  </si>
  <si>
    <t xml:space="preserve">AB40a</t>
  </si>
  <si>
    <t xml:space="preserve">J2</t>
  </si>
  <si>
    <t xml:space="preserve">Batch_Analysis_B36_data.pdf</t>
  </si>
  <si>
    <t xml:space="preserve">J4</t>
  </si>
  <si>
    <t xml:space="preserve">JB36old</t>
  </si>
  <si>
    <t xml:space="preserve">L503S</t>
  </si>
  <si>
    <t xml:space="preserve">L846a</t>
  </si>
  <si>
    <t xml:space="preserve">LRNase</t>
  </si>
  <si>
    <t xml:space="preserve">reactor10unit1</t>
  </si>
  <si>
    <t xml:space="preserve">reactor10unit3</t>
  </si>
  <si>
    <t xml:space="preserve">unit1</t>
  </si>
  <si>
    <t xml:space="preserve">unit2-t6</t>
  </si>
  <si>
    <t xml:space="preserve">b35</t>
  </si>
  <si>
    <t xml:space="preserve">unit3</t>
  </si>
  <si>
    <t xml:space="preserve">unit4-t6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</si>
</sst>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dd.mm.yyyy"/>
    <numFmt numFmtId="168" formatCode="0"/>
    <numFmt numFmtId="169" formatCode="0.00E+00"/>
    <numFmt numFmtId="170" formatCode="0.0&quot;%&quot;"/>
  </numFmts>
  <fonts count="6">
    <font>
      <sz val="11.000000"/>
      <name val="Calibri"/>
      <scheme val="minor"/>
    </font>
    <font>
      <sz val="11.000000"/>
      <color rgb="FFFFFFFF"/>
      <name val="Calibri"/>
      <b/>
    </font>
    <font>
      <sz val="11.000000"/>
      <color rgb="FF2D6DB5"/>
      <name val="Calibri"/>
      <u val="single"/>
    </font>
    <font>
      <sz val="11.000000"/>
      <color rgb="#000000"/>
      <name val="Calibri"/>
    </font>
    <font>
      <sz val="11.000000"/>
      <color rgb="#000000"/>
      <name val="Calibri"/>
      <b/>
    </font>
    <font>
      <sz val="11.000000"/>
      <color theme="10"/>
      <name val="Calibri"/>
      <u val="single"/>
    </font>
  </fonts>
  <fills count="11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0F0"/>
      </patternFill>
    </fill>
    <fill>
      <patternFill patternType="solid">
        <fgColor rgb="FFFAFAFA"/>
      </patternFill>
    </fill>
    <fill>
      <patternFill patternType="solid">
        <fgColor rgb="FFE8F0F7"/>
      </patternFill>
    </fill>
    <fill>
      <patternFill patternType="solid">
        <fgColor rgb="FFF5F5F5"/>
      </patternFill>
    </fill>
    <fill>
      <patternFill patternType="solid">
        <fgColor rgb="FFEEE8F4"/>
      </patternFill>
    </fill>
    <fill>
      <patternFill patternType="solid">
        <fgColor rgb="FFD6EAD6"/>
      </patternFill>
    </fill>
    <fill>
      <patternFill patternType="solid">
        <fgColor rgb="FFFDE8D8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bottom style="medium">
        <color rgb="FF1A2A3A"/>
      </bottom>
    </border>
    <border>
      <bottom style="thick">
        <color rgb="FF000000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167" fontId="3" fillId="6" borderId="0" xfId="0" applyFont="1" applyNumberFormat="1" applyFill="1" applyAlignment="1">
      <alignment horizontal="center"/>
    </xf>
    <xf numFmtId="168" fontId="3" fillId="7" borderId="0" xfId="0" applyFont="1" applyNumberFormat="1" applyFill="1" applyAlignment="1">
      <alignment horizontal="center"/>
    </xf>
    <xf numFmtId="169" fontId="3" fillId="8" borderId="0" xfId="0" applyFont="1" applyNumberFormat="1" applyFill="1"/>
    <xf numFmtId="169" fontId="3" fillId="9" borderId="0" xfId="0" applyFont="1" applyNumberFormat="1" applyFill="1"/>
    <xf numFmtId="170" fontId="3" fillId="8" borderId="0" xfId="0" applyFont="1" applyNumberFormat="1" applyFill="1"/>
    <xf numFmtId="170" fontId="3" fillId="9" borderId="0" xfId="0" applyFont="1" applyNumberFormat="1" applyFill="1"/>
    <xf numFmtId="169" fontId="3" fillId="10" borderId="0" xfId="0" applyFont="1" applyNumberFormat="1" applyFill="1"/>
    <xf numFmtId="170" fontId="3" fillId="10" borderId="0" xfId="0" applyFont="1" applyNumberFormat="1" applyFill="1"/>
    <xf numFmtId="0" fontId="5" fillId="3" borderId="0" xfId="0" applyFont="1" applyFill="1"/>
    <xf numFmtId="0" fontId="2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167" fontId="3" fillId="6" borderId="2" xfId="0" applyFont="1" applyNumberFormat="1" applyFill="1" applyBorder="1" applyAlignment="1">
      <alignment horizontal="center"/>
    </xf>
    <xf numFmtId="168" fontId="3" fillId="7" borderId="2" xfId="0" applyFont="1" applyNumberFormat="1" applyFill="1" applyBorder="1" applyAlignment="1">
      <alignment horizontal="center"/>
    </xf>
    <xf numFmtId="169" fontId="3" fillId="8" borderId="2" xfId="0" applyFont="1" applyNumberFormat="1" applyFill="1" applyBorder="1"/>
    <xf numFmtId="169" fontId="3" fillId="9" borderId="2" xfId="0" applyFont="1" applyNumberFormat="1" applyFill="1" applyBorder="1"/>
    <xf numFmtId="170" fontId="3" fillId="8" borderId="2" xfId="0" applyFont="1" applyNumberFormat="1" applyFill="1" applyBorder="1"/>
    <xf numFmtId="170" fontId="3" fillId="9" borderId="2" xfId="0" applyFont="1" applyNumberFormat="1" applyFill="1" applyBorder="1"/>
    <xf numFmtId="0" fontId="5" fillId="3" borderId="2" xfId="0" applyFont="1" applyFill="1" applyBorder="1"/>
    <xf numFmtId="0" fontId="3" fillId="0" borderId="2" xfId="0" applyFont="1" applyBorder="1"/>
    <xf numFmtId="169" fontId="3" fillId="10" borderId="2" xfId="0" applyFont="1" applyNumberFormat="1" applyFill="1" applyBorder="1"/>
    <xf numFmtId="170" fontId="3" fillId="10" borderId="2" xfId="0" applyFont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1.71" hidden="0" customWidth="1"/>
    <col min="5" max="5" width="14.71" hidden="0" customWidth="1"/>
    <col min="6" max="6" width="10.71" hidden="0" customWidth="1"/>
    <col min="7" max="7" width="16.71" hidden="0" customWidth="1"/>
    <col min="8" max="8" width="12.71" hidden="0" customWidth="1"/>
    <col min="9" max="9" width="16.71" hidden="0" customWidth="1"/>
    <col min="10" max="10" width="16.71" hidden="0" customWidth="1"/>
    <col min="11" max="11" width="9.14" hidden="1" customWidth="1"/>
    <col min="12" max="12" width="16.71" hidden="0" customWidth="1"/>
    <col min="13" max="13" width="9.14" hidden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315</v>
      </c>
      <c r="M1" s="1" t="s">
        <v>12</v>
      </c>
    </row>
    <row r="2">
      <c r="A2" s="16" t="s">
        <v>316</v>
      </c>
      <c r="B2" s="17" t="n">
        <v>46153</v>
      </c>
      <c r="C2" s="17" t="n">
        <v>46136</v>
      </c>
      <c r="D2" s="18" t="str">
        <f>IF(OR(C2="",B2=""),"",B2-C2)</f>
      </c>
      <c r="E2" s="19" t="n">
        <v>4060415.64588456</v>
      </c>
      <c r="F2" s="21" t="n">
        <v>45.376121463078</v>
      </c>
      <c r="G2" s="20" t="n">
        <v>2794430.53956314</v>
      </c>
      <c r="H2" s="22" t="n">
        <v>31.2284334023464</v>
      </c>
      <c r="I2" s="23" t="str">
        <f>=HYPERLINK("https://ucloud.univie.ac.at/index.php/f/1514655988","Open Cytogram")</f>
      </c>
      <c r="J2" s="14" t="s">
        <v>314</v>
      </c>
      <c r="K2" s="15" t="s">
        <v>314</v>
      </c>
      <c r="L2" s="15" t="s">
        <v>314</v>
      </c>
      <c r="M2" s="15" t="s">
        <v>318</v>
      </c>
    </row>
    <row r="3">
      <c r="A3" s="16" t="s">
        <v>319</v>
      </c>
      <c r="B3" s="17" t="n">
        <v>46153</v>
      </c>
      <c r="C3" s="17" t="n">
        <v>46136</v>
      </c>
      <c r="D3" s="18" t="str">
        <f>IF(OR(C3="",B3=""),"",B3-C3)</f>
      </c>
      <c r="E3" s="19" t="n">
        <v>15140.0236226234</v>
      </c>
      <c r="F3" s="21" t="n">
        <v>3.28530259365994</v>
      </c>
      <c r="G3" s="20" t="n">
        <v>91902.599533819</v>
      </c>
      <c r="H3" s="22" t="n">
        <v>19.9423631123919</v>
      </c>
      <c r="I3" s="23" t="str">
        <f>=HYPERLINK("https://ucloud.univie.ac.at/index.php/f/1514655988","Open Cytogram")</f>
      </c>
      <c r="J3" s="14" t="s">
        <v>314</v>
      </c>
      <c r="K3" s="24" t="s">
        <v>314</v>
      </c>
      <c r="L3" s="24" t="s">
        <v>314</v>
      </c>
      <c r="M3" s="24" t="s">
        <v>318</v>
      </c>
    </row>
    <row r="4">
      <c r="A4" s="16" t="s">
        <v>320</v>
      </c>
      <c r="B4" s="17" t="n">
        <v>46153</v>
      </c>
      <c r="C4" s="17" t="n">
        <v>46136</v>
      </c>
      <c r="D4" s="18" t="str">
        <f>IF(OR(C4="",B4=""),"",B4-C4)</f>
      </c>
      <c r="E4" s="19" t="n">
        <v>6254054.64718646</v>
      </c>
      <c r="F4" s="21" t="n">
        <v>33.7981835085461</v>
      </c>
      <c r="G4" s="20" t="n">
        <v>6151717.1751772</v>
      </c>
      <c r="H4" s="22" t="n">
        <v>33.2451309923955</v>
      </c>
      <c r="I4" s="23" t="str">
        <f>=HYPERLINK("https://ucloud.univie.ac.at/index.php/f/1514655988","Open Cytogram")</f>
      </c>
      <c r="J4" s="14" t="s">
        <v>314</v>
      </c>
      <c r="K4" s="15" t="s">
        <v>314</v>
      </c>
      <c r="L4" s="15" t="s">
        <v>314</v>
      </c>
      <c r="M4" s="15" t="s">
        <v>318</v>
      </c>
    </row>
    <row r="5">
      <c r="A5" s="16" t="s">
        <v>321</v>
      </c>
      <c r="B5" s="17" t="n">
        <v>46153</v>
      </c>
      <c r="C5" s="17" t="n">
        <v>46136</v>
      </c>
      <c r="D5" s="18" t="str">
        <f>IF(OR(C5="",B5=""),"",B5-C5)</f>
      </c>
      <c r="E5" s="19" t="n">
        <v>3292884.60581513</v>
      </c>
      <c r="F5" s="21" t="n">
        <v>24.098524711883</v>
      </c>
      <c r="G5" s="20" t="n">
        <v>473751.917835961</v>
      </c>
      <c r="H5" s="22" t="n">
        <v>3.467088485005</v>
      </c>
      <c r="I5" s="23" t="str">
        <f>=HYPERLINK("https://ucloud.univie.ac.at/index.php/f/1514655988","Open Cytogram")</f>
      </c>
      <c r="J5" s="14" t="s">
        <v>314</v>
      </c>
      <c r="K5" s="24" t="s">
        <v>314</v>
      </c>
      <c r="L5" s="24" t="s">
        <v>314</v>
      </c>
      <c r="M5" s="24" t="s">
        <v>318</v>
      </c>
    </row>
    <row r="6">
      <c r="A6" s="16" t="s">
        <v>322</v>
      </c>
      <c r="B6" s="17" t="n">
        <v>46153</v>
      </c>
      <c r="C6" s="17" t="n">
        <v>46136</v>
      </c>
      <c r="D6" s="18" t="str">
        <f>IF(OR(C6="",B6=""),"",B6-C6)</f>
      </c>
      <c r="E6" s="19" t="n">
        <v>7650608.25227831</v>
      </c>
      <c r="F6" s="21" t="n">
        <v>55.7864265036989</v>
      </c>
      <c r="G6" s="20" t="n">
        <v>2175553.49978302</v>
      </c>
      <c r="H6" s="22" t="n">
        <v>15.8636217433258</v>
      </c>
      <c r="I6" s="23" t="str">
        <f>=HYPERLINK("https://ucloud.univie.ac.at/index.php/f/1514655988","Open Cytogram")</f>
      </c>
      <c r="J6" s="14" t="s">
        <v>314</v>
      </c>
      <c r="K6" s="15" t="s">
        <v>314</v>
      </c>
      <c r="L6" s="15" t="s">
        <v>314</v>
      </c>
      <c r="M6" s="15" t="s">
        <v>318</v>
      </c>
    </row>
    <row r="7">
      <c r="A7" s="16" t="s">
        <v>323</v>
      </c>
      <c r="B7" s="17" t="n">
        <v>46153</v>
      </c>
      <c r="C7" s="17" t="n">
        <v>46142</v>
      </c>
      <c r="D7" s="18" t="str">
        <f>IF(OR(C7="",B7=""),"",B7-C7)</f>
      </c>
      <c r="E7" s="19" t="n">
        <v>1171870.19208336</v>
      </c>
      <c r="F7" s="21" t="n">
        <v>29.6796796796797</v>
      </c>
      <c r="G7" s="20" t="n">
        <v>1028268.33605516</v>
      </c>
      <c r="H7" s="22" t="n">
        <v>26.0427093760427</v>
      </c>
      <c r="I7" s="23" t="str">
        <f>=HYPERLINK("https://ucloud.univie.ac.at/index.php/f/1514655988","Open Cytogram")</f>
      </c>
      <c r="J7" s="14" t="s">
        <v>314</v>
      </c>
      <c r="K7" s="24" t="s">
        <v>314</v>
      </c>
      <c r="L7" s="24" t="s">
        <v>314</v>
      </c>
      <c r="M7" s="24" t="s">
        <v>318</v>
      </c>
    </row>
    <row r="8">
      <c r="A8" s="16" t="s">
        <v>325</v>
      </c>
      <c r="B8" s="17" t="n">
        <v>46153</v>
      </c>
      <c r="C8" s="17" t="n">
        <v>46142</v>
      </c>
      <c r="D8" s="18" t="str">
        <f>IF(OR(C8="",B8=""),"",B8-C8)</f>
      </c>
      <c r="E8" s="19" t="n">
        <v>2170701.29205844</v>
      </c>
      <c r="F8" s="21" t="n">
        <v>39.8461538461538</v>
      </c>
      <c r="G8" s="20" t="n">
        <v>2141588.04571098</v>
      </c>
      <c r="H8" s="22" t="n">
        <v>39.3117408906883</v>
      </c>
      <c r="I8" s="23" t="str">
        <f>=HYPERLINK("https://ucloud.univie.ac.at/index.php/f/1514655988","Open Cytogram")</f>
      </c>
      <c r="J8" s="14" t="s">
        <v>314</v>
      </c>
      <c r="K8" s="15" t="s">
        <v>314</v>
      </c>
      <c r="L8" s="15" t="s">
        <v>314</v>
      </c>
      <c r="M8" s="15" t="s">
        <v>318</v>
      </c>
    </row>
    <row r="9">
      <c r="A9" s="16" t="s">
        <v>326</v>
      </c>
      <c r="B9" s="17" t="n">
        <v>46153</v>
      </c>
      <c r="C9" s="17" t="n">
        <v>46142</v>
      </c>
      <c r="D9" s="18" t="str">
        <f>IF(OR(C9="",B9=""),"",B9-C9)</f>
      </c>
      <c r="E9" s="19" t="n">
        <v>3649617.66361197</v>
      </c>
      <c r="F9" s="21" t="n">
        <v>32.935368043088</v>
      </c>
      <c r="G9" s="20" t="n">
        <v>2756361.55515638</v>
      </c>
      <c r="H9" s="22" t="n">
        <v>24.8743267504488</v>
      </c>
      <c r="I9" s="23" t="str">
        <f>=HYPERLINK("https://ucloud.univie.ac.at/index.php/f/1514655988","Open Cytogram")</f>
      </c>
      <c r="J9" s="14" t="s">
        <v>314</v>
      </c>
      <c r="K9" s="24" t="s">
        <v>314</v>
      </c>
      <c r="L9" s="24" t="s">
        <v>314</v>
      </c>
      <c r="M9" s="24" t="s">
        <v>318</v>
      </c>
    </row>
    <row r="10">
      <c r="A10" s="16" t="s">
        <v>327</v>
      </c>
      <c r="B10" s="17"/>
      <c r="C10" s="17" t="n">
        <v>46160</v>
      </c>
      <c r="D10" s="18" t="str">
        <f>IF(OR(C10="",B10=""),"",B10-C10)</f>
      </c>
      <c r="E10" s="19" t="n">
        <v>3585535.90517716</v>
      </c>
      <c r="F10" s="21" t="n">
        <v>49.3414688592901</v>
      </c>
      <c r="G10" s="20" t="n">
        <v>1587563.47724327</v>
      </c>
      <c r="H10" s="22" t="n">
        <v>21.8468636059231</v>
      </c>
      <c r="I10" s="23" t="str">
        <f>=HYPERLINK("https://ucloud.univie.ac.at/index.php/f/1518571338","Open Cytogram")</f>
      </c>
      <c r="J10" s="14" t="s">
        <v>314</v>
      </c>
      <c r="K10" s="15" t="s">
        <v>314</v>
      </c>
      <c r="L10" s="15" t="s">
        <v>314</v>
      </c>
      <c r="M10" s="15" t="s">
        <v>328</v>
      </c>
    </row>
    <row r="11">
      <c r="A11" s="16" t="s">
        <v>329</v>
      </c>
      <c r="B11" s="17"/>
      <c r="C11" s="17" t="n">
        <v>46160</v>
      </c>
      <c r="D11" s="18" t="str">
        <f>IF(OR(C11="",B11=""),"",B11-C11)</f>
      </c>
      <c r="E11" s="19" t="n">
        <v>4213632.17085498</v>
      </c>
      <c r="F11" s="21" t="n">
        <v>40.740411537265</v>
      </c>
      <c r="G11" s="20" t="n">
        <v>3058985.72019635</v>
      </c>
      <c r="H11" s="22" t="n">
        <v>29.5764632682992</v>
      </c>
      <c r="I11" s="23" t="str">
        <f>=HYPERLINK("https://ucloud.univie.ac.at/index.php/f/1518571338","Open Cytogram")</f>
      </c>
      <c r="J11" s="14" t="s">
        <v>314</v>
      </c>
      <c r="K11" s="24" t="s">
        <v>314</v>
      </c>
      <c r="L11" s="24" t="s">
        <v>314</v>
      </c>
      <c r="M11" s="24" t="s">
        <v>328</v>
      </c>
    </row>
    <row r="12">
      <c r="A12" s="16" t="s">
        <v>330</v>
      </c>
      <c r="B12" s="17"/>
      <c r="C12" s="17" t="n">
        <v>46160</v>
      </c>
      <c r="D12" s="18" t="str">
        <f>IF(OR(C12="",B12=""),"",B12-C12)</f>
      </c>
      <c r="E12" s="19" t="n">
        <v>13258906.4618156</v>
      </c>
      <c r="F12" s="21" t="n">
        <v>53.6773199845976</v>
      </c>
      <c r="G12" s="20" t="n">
        <v>8895071.2504232</v>
      </c>
      <c r="H12" s="22" t="n">
        <v>36.010781671159</v>
      </c>
      <c r="I12" s="23" t="str">
        <f>=HYPERLINK("https://ucloud.univie.ac.at/index.php/f/1518571338","Open Cytogram")</f>
      </c>
      <c r="J12" s="14" t="s">
        <v>314</v>
      </c>
      <c r="K12" s="15" t="s">
        <v>314</v>
      </c>
      <c r="L12" s="15" t="s">
        <v>314</v>
      </c>
      <c r="M12" s="15" t="s">
        <v>328</v>
      </c>
    </row>
    <row r="13">
      <c r="A13" s="4" t="s">
        <v>331</v>
      </c>
      <c r="B13" s="5"/>
      <c r="C13" s="5" t="n">
        <v>46171</v>
      </c>
      <c r="D13" s="6" t="str">
        <f>IF(OR(C13="",B13=""),"",B13-C13)</f>
      </c>
      <c r="E13" s="7" t="n">
        <v>1079033.65550112</v>
      </c>
      <c r="F13" s="9" t="n">
        <v>27.6844153546789</v>
      </c>
      <c r="G13" s="8" t="n">
        <v>1425841.27768454</v>
      </c>
      <c r="H13" s="10" t="n">
        <v>36.5823456571732</v>
      </c>
      <c r="I13" s="13" t="str">
        <f>=HYPERLINK("https://ucloud.univie.ac.at/index.php/f/1518571338","Open Cytogram")</f>
      </c>
      <c r="J13" s="2" t="s">
        <v>314</v>
      </c>
      <c r="K13" t="s">
        <v>314</v>
      </c>
      <c r="L13" t="s">
        <v>314</v>
      </c>
      <c r="M13" t="s">
        <v>328</v>
      </c>
    </row>
    <row r="14">
      <c r="A14" s="16" t="s">
        <v>314</v>
      </c>
      <c r="B14" s="17" t="n">
        <v>46189</v>
      </c>
      <c r="C14" s="17" t="n">
        <v>46171</v>
      </c>
      <c r="D14" s="18" t="str">
        <f>IF(OR(C14="",B14=""),"",B14-C14)</f>
      </c>
      <c r="E14" s="19" t="n">
        <v>1839159.4851965</v>
      </c>
      <c r="F14" s="21" t="n">
        <v>18.0882983283326</v>
      </c>
      <c r="G14" s="20" t="n">
        <v>7321149.75843794</v>
      </c>
      <c r="H14" s="22" t="n">
        <v>72.0041638601433</v>
      </c>
      <c r="I14" s="23" t="str">
        <f>=HYPERLINK("https://ucloud.univie.ac.at/index.php/f/1525440401","Open Cytogram")</f>
      </c>
      <c r="J14" s="14" t="s">
        <v>314</v>
      </c>
      <c r="K14" s="15" t="s">
        <v>314</v>
      </c>
      <c r="L14" s="15" t="s">
        <v>314</v>
      </c>
      <c r="M14" s="15" t="s">
        <v>333</v>
      </c>
    </row>
    <row r="15">
      <c r="A15" s="4" t="s">
        <v>334</v>
      </c>
      <c r="B15" s="5"/>
      <c r="C15" s="5" t="n">
        <v>46171</v>
      </c>
      <c r="D15" s="6" t="str">
        <f>IF(OR(C15="",B15=""),"",B15-C15)</f>
      </c>
      <c r="E15" s="7" t="n">
        <v>6383268.49943934</v>
      </c>
      <c r="F15" s="9" t="n">
        <v>34.7489225703356</v>
      </c>
      <c r="G15" s="8" t="n">
        <v>10717949.0175229</v>
      </c>
      <c r="H15" s="10" t="n">
        <v>58.3458428163285</v>
      </c>
      <c r="I15" s="13" t="str">
        <f>=HYPERLINK("https://ucloud.univie.ac.at/index.php/f/1518571338","Open Cytogram")</f>
      </c>
      <c r="J15" s="2" t="s">
        <v>314</v>
      </c>
      <c r="K15" t="s">
        <v>314</v>
      </c>
      <c r="L15" t="s">
        <v>314</v>
      </c>
      <c r="M15" t="s">
        <v>328</v>
      </c>
    </row>
    <row r="16">
      <c r="A16" s="16" t="s">
        <v>314</v>
      </c>
      <c r="B16" s="17" t="n">
        <v>46189</v>
      </c>
      <c r="C16" s="17" t="n">
        <v>46171</v>
      </c>
      <c r="D16" s="18" t="str">
        <f>IF(OR(C16="",B16=""),"",B16-C16)</f>
      </c>
      <c r="E16" s="19" t="n">
        <v>4870154.0376164</v>
      </c>
      <c r="F16" s="21" t="n">
        <v>31.9004673820025</v>
      </c>
      <c r="G16" s="20" t="n">
        <v>9301632.41749042</v>
      </c>
      <c r="H16" s="22" t="n">
        <v>60.9275228753867</v>
      </c>
      <c r="I16" s="23" t="str">
        <f>=HYPERLINK("https://ucloud.univie.ac.at/index.php/f/1525440401","Open Cytogram")</f>
      </c>
      <c r="J16" s="14" t="s">
        <v>314</v>
      </c>
      <c r="K16" s="15" t="s">
        <v>314</v>
      </c>
      <c r="L16" s="15" t="s">
        <v>314</v>
      </c>
      <c r="M16" s="15" t="s">
        <v>333</v>
      </c>
    </row>
    <row r="17">
      <c r="A17" s="4" t="s">
        <v>335</v>
      </c>
      <c r="B17" s="5"/>
      <c r="C17" s="5" t="n">
        <v>46171</v>
      </c>
      <c r="D17" s="6" t="str">
        <f>IF(OR(C17="",B17=""),"",B17-C17)</f>
      </c>
      <c r="E17" s="7" t="n">
        <v>6311485.03671388</v>
      </c>
      <c r="F17" s="9" t="n">
        <v>25.8763003165988</v>
      </c>
      <c r="G17" s="8" t="n">
        <v>16639871.0810632</v>
      </c>
      <c r="H17" s="10" t="n">
        <v>68.2213930348259</v>
      </c>
      <c r="I17" s="13" t="str">
        <f>=HYPERLINK("https://ucloud.univie.ac.at/index.php/f/1518571338","Open Cytogram")</f>
      </c>
      <c r="J17" s="2" t="s">
        <v>314</v>
      </c>
      <c r="K17" t="s">
        <v>314</v>
      </c>
      <c r="L17" t="s">
        <v>314</v>
      </c>
      <c r="M17" t="s">
        <v>328</v>
      </c>
    </row>
    <row r="18">
      <c r="A18" s="16" t="s">
        <v>314</v>
      </c>
      <c r="B18" s="17" t="n">
        <v>46189</v>
      </c>
      <c r="C18" s="17" t="n">
        <v>46171</v>
      </c>
      <c r="D18" s="18" t="str">
        <f>IF(OR(C18="",B18=""),"",B18-C18)</f>
      </c>
      <c r="E18" s="19" t="n">
        <v>2329298.9294704</v>
      </c>
      <c r="F18" s="21" t="n">
        <v>13.3957558932857</v>
      </c>
      <c r="G18" s="20" t="n">
        <v>14529687.2808096</v>
      </c>
      <c r="H18" s="22" t="n">
        <v>83.559968004517</v>
      </c>
      <c r="I18" s="23" t="str">
        <f>=HYPERLINK("https://ucloud.univie.ac.at/index.php/f/1525440401","Open Cytogram")</f>
      </c>
      <c r="J18" s="14" t="s">
        <v>314</v>
      </c>
      <c r="K18" s="15" t="s">
        <v>314</v>
      </c>
      <c r="L18" s="15" t="s">
        <v>314</v>
      </c>
      <c r="M18" s="15" t="s">
        <v>333</v>
      </c>
    </row>
    <row r="19">
      <c r="A19" s="4" t="s">
        <v>336</v>
      </c>
      <c r="B19" s="5"/>
      <c r="C19" s="5" t="n">
        <v>46171</v>
      </c>
      <c r="D19" s="6" t="str">
        <f>IF(OR(C19="",B19=""),"",B19-C19)</f>
      </c>
      <c r="E19" s="7" t="n">
        <v>4904359.92459008</v>
      </c>
      <c r="F19" s="9" t="n">
        <v>25.3295352993744</v>
      </c>
      <c r="G19" s="8" t="n">
        <v>12924367.2455956</v>
      </c>
      <c r="H19" s="10" t="n">
        <v>66.7504468275246</v>
      </c>
      <c r="I19" s="13" t="str">
        <f>=HYPERLINK("https://ucloud.univie.ac.at/index.php/f/1518571338","Open Cytogram")</f>
      </c>
      <c r="J19" s="2" t="s">
        <v>314</v>
      </c>
      <c r="K19" t="s">
        <v>314</v>
      </c>
      <c r="L19" t="s">
        <v>314</v>
      </c>
      <c r="M19" t="s">
        <v>328</v>
      </c>
    </row>
    <row r="20">
      <c r="A20" s="16" t="s">
        <v>314</v>
      </c>
      <c r="B20" s="17" t="n">
        <v>46189</v>
      </c>
      <c r="C20" s="17" t="n">
        <v>46171</v>
      </c>
      <c r="D20" s="18" t="str">
        <f>IF(OR(C20="",B20=""),"",B20-C20)</f>
      </c>
      <c r="E20" s="19" t="n">
        <v>4054106.76593986</v>
      </c>
      <c r="F20" s="21" t="n">
        <v>26.324719394414</v>
      </c>
      <c r="G20" s="20" t="n">
        <v>10756347.2275296</v>
      </c>
      <c r="H20" s="22" t="n">
        <v>69.8446880709997</v>
      </c>
      <c r="I20" s="23" t="str">
        <f>=HYPERLINK("https://ucloud.univie.ac.at/index.php/f/1525440401","Open Cytogram")</f>
      </c>
      <c r="J20" s="14" t="s">
        <v>314</v>
      </c>
      <c r="K20" s="15" t="s">
        <v>314</v>
      </c>
      <c r="L20" s="15" t="s">
        <v>314</v>
      </c>
      <c r="M20" s="15" t="s">
        <v>333</v>
      </c>
    </row>
    <row r="21">
      <c r="A21" s="4" t="s">
        <v>337</v>
      </c>
      <c r="B21" s="5"/>
      <c r="C21" s="5" t="n">
        <v>46171</v>
      </c>
      <c r="D21" s="6" t="str">
        <f>IF(OR(C21="",B21=""),"",B21-C21)</f>
      </c>
      <c r="E21" s="7" t="n">
        <v>4613985.31178389</v>
      </c>
      <c r="F21" s="9" t="n">
        <v>22.2390317700454</v>
      </c>
      <c r="G21" s="8" t="n">
        <v>11786540.0914504</v>
      </c>
      <c r="H21" s="10" t="n">
        <v>56.810159079448</v>
      </c>
      <c r="I21" s="13" t="str">
        <f>=HYPERLINK("https://ucloud.univie.ac.at/index.php/f/1518571338","Open Cytogram")</f>
      </c>
      <c r="J21" s="2" t="s">
        <v>314</v>
      </c>
      <c r="K21" t="s">
        <v>314</v>
      </c>
      <c r="L21" t="s">
        <v>314</v>
      </c>
      <c r="M21" t="s">
        <v>328</v>
      </c>
    </row>
    <row r="22">
      <c r="A22" s="16" t="s">
        <v>314</v>
      </c>
      <c r="B22" s="17" t="n">
        <v>46189</v>
      </c>
      <c r="C22" s="17" t="n">
        <v>46171</v>
      </c>
      <c r="D22" s="18" t="str">
        <f>IF(OR(C22="",B22=""),"",B22-C22)</f>
      </c>
      <c r="E22" s="19" t="n">
        <v>2514973.27262382</v>
      </c>
      <c r="F22" s="21" t="n">
        <v>18.8327814569536</v>
      </c>
      <c r="G22" s="20" t="n">
        <v>10286517.0557207</v>
      </c>
      <c r="H22" s="22" t="n">
        <v>77.0281456953642</v>
      </c>
      <c r="I22" s="23" t="str">
        <f>=HYPERLINK("https://ucloud.univie.ac.at/index.php/f/1525440401","Open Cytogram")</f>
      </c>
      <c r="J22" s="14" t="s">
        <v>314</v>
      </c>
      <c r="K22" s="15" t="s">
        <v>314</v>
      </c>
      <c r="L22" s="15" t="s">
        <v>314</v>
      </c>
      <c r="M22" s="15" t="s">
        <v>333</v>
      </c>
    </row>
    <row r="23">
      <c r="A23" s="4" t="s">
        <v>338</v>
      </c>
      <c r="B23" s="5" t="n">
        <v>46184</v>
      </c>
      <c r="C23" s="5" t="n">
        <v>46184</v>
      </c>
      <c r="D23" s="6" t="str">
        <f>IF(OR(C23="",B23=""),"",B23-C23)</f>
      </c>
      <c r="E23" s="7" t="n">
        <v>1047772.07791557</v>
      </c>
      <c r="F23" s="9" t="n">
        <v>32.2639254123835</v>
      </c>
      <c r="G23" s="8" t="n">
        <v>1805652.2664612</v>
      </c>
      <c r="H23" s="10" t="n">
        <v>55.6012431269424</v>
      </c>
      <c r="I23" s="13" t="str">
        <f>=HYPERLINK("https://ucloud.univie.ac.at/index.php/f/1525440401","Open Cytogram")</f>
      </c>
      <c r="J23" s="2" t="s">
        <v>314</v>
      </c>
      <c r="K23" t="s">
        <v>314</v>
      </c>
      <c r="L23" t="s">
        <v>314</v>
      </c>
      <c r="M23" t="s">
        <v>333</v>
      </c>
    </row>
    <row r="24">
      <c r="A24" s="4" t="s">
        <v>314</v>
      </c>
      <c r="B24" s="5" t="n">
        <v>46191</v>
      </c>
      <c r="C24" s="5" t="n">
        <v>46184</v>
      </c>
      <c r="D24" s="6" t="str">
        <f>IF(OR(C24="",B24=""),"",B24-C24)</f>
      </c>
      <c r="E24" s="7" t="n">
        <v>2165962.77003357</v>
      </c>
      <c r="F24" s="9" t="n">
        <v>20.1832860571678</v>
      </c>
      <c r="G24" s="8" t="n">
        <v>6877224.4925282</v>
      </c>
      <c r="H24" s="10" t="n">
        <v>64.0846607025966</v>
      </c>
      <c r="I24" s="13" t="str">
        <f>=HYPERLINK("https://ucloud.univie.ac.at/index.php/f/1527059776","Open Cytogram")</f>
      </c>
      <c r="J24" s="2" t="s">
        <v>314</v>
      </c>
      <c r="K24" s="3" t="s">
        <v>314</v>
      </c>
      <c r="L24" s="3" t="s">
        <v>314</v>
      </c>
      <c r="M24" s="3" t="s">
        <v>341</v>
      </c>
    </row>
    <row r="25">
      <c r="A25" s="4" t="s">
        <v>314</v>
      </c>
      <c r="B25" s="5" t="n">
        <v>46198</v>
      </c>
      <c r="C25" s="5" t="n">
        <v>46184</v>
      </c>
      <c r="D25" s="6" t="str">
        <f>IF(OR(C25="",B25=""),"",B25-C25)</f>
      </c>
      <c r="E25" s="7" t="n">
        <v>4604364.15222829</v>
      </c>
      <c r="F25" s="9" t="n">
        <v>19.1948211139202</v>
      </c>
      <c r="G25" s="8" t="n">
        <v>16758011.0573418</v>
      </c>
      <c r="H25" s="10" t="n">
        <v>69.8613345591052</v>
      </c>
      <c r="I25" s="13" t="str">
        <f>=HYPERLINK("https://ucloud.univie.ac.at/index.php/f/1537345531","Open Cytogram")</f>
      </c>
      <c r="J25" s="2" t="s">
        <v>314</v>
      </c>
      <c r="K25" t="s">
        <v>314</v>
      </c>
      <c r="L25" t="s">
        <v>314</v>
      </c>
      <c r="M25" t="s">
        <v>343</v>
      </c>
    </row>
    <row r="26">
      <c r="A26" s="4" t="s">
        <v>314</v>
      </c>
      <c r="B26" s="5" t="n">
        <v>46205</v>
      </c>
      <c r="C26" s="5" t="n">
        <v>46184</v>
      </c>
      <c r="D26" s="6" t="str">
        <f>IF(OR(C26="",B26=""),"",B26-C26)</f>
      </c>
      <c r="E26" s="7" t="n">
        <v>12242064.5231371</v>
      </c>
      <c r="F26" s="9" t="n">
        <v>44.5695048111951</v>
      </c>
      <c r="G26" s="8" t="n">
        <v>8999366.59787095</v>
      </c>
      <c r="H26" s="10" t="n">
        <v>32.7638620204507</v>
      </c>
      <c r="I26" s="13" t="str">
        <f>=HYPERLINK("https://ucloud.univie.ac.at/index.php/f/1547933978","Open Cytogram")</f>
      </c>
      <c r="J26" s="2" t="s">
        <v>314</v>
      </c>
      <c r="K26" s="3" t="s">
        <v>314</v>
      </c>
      <c r="L26" s="3" t="s">
        <v>314</v>
      </c>
      <c r="M26" s="3" t="s">
        <v>345</v>
      </c>
    </row>
    <row r="27">
      <c r="A27" s="16" t="s">
        <v>314</v>
      </c>
      <c r="B27" s="17" t="n">
        <v>46212</v>
      </c>
      <c r="C27" s="17" t="n">
        <v>46184</v>
      </c>
      <c r="D27" s="18" t="str">
        <f>IF(OR(C27="",B27=""),"",B27-C27)</f>
      </c>
      <c r="E27" s="19" t="n">
        <v>10857307.1910435</v>
      </c>
      <c r="F27" s="21" t="n">
        <v>41.3471909010687</v>
      </c>
      <c r="G27" s="20" t="n">
        <v>10603703.9758863</v>
      </c>
      <c r="H27" s="22" t="n">
        <v>40.3814099421512</v>
      </c>
      <c r="I27" s="23" t="str">
        <f>=HYPERLINK("https://ucloud.univie.ac.at/index.php/f/1552579218","Open Cytogram")</f>
      </c>
      <c r="J27" s="14" t="s">
        <v>314</v>
      </c>
      <c r="K27" s="24" t="s">
        <v>314</v>
      </c>
      <c r="L27" s="24" t="s">
        <v>314</v>
      </c>
      <c r="M27" s="24" t="s">
        <v>347</v>
      </c>
    </row>
    <row r="28">
      <c r="A28" s="4" t="s">
        <v>348</v>
      </c>
      <c r="B28" s="5" t="n">
        <v>46184</v>
      </c>
      <c r="C28" s="5" t="n">
        <v>46184</v>
      </c>
      <c r="D28" s="6" t="str">
        <f>IF(OR(C28="",B28=""),"",B28-C28)</f>
      </c>
      <c r="E28" s="7" t="n">
        <v>1075565.67630723</v>
      </c>
      <c r="F28" s="9" t="n">
        <v>32.6176013561237</v>
      </c>
      <c r="G28" s="8" t="n">
        <v>1813260.56993154</v>
      </c>
      <c r="H28" s="10" t="n">
        <v>54.9889344069313</v>
      </c>
      <c r="I28" s="13" t="str">
        <f>=HYPERLINK("https://ucloud.univie.ac.at/index.php/f/1525440401","Open Cytogram")</f>
      </c>
      <c r="J28" s="2" t="s">
        <v>314</v>
      </c>
      <c r="K28" s="3" t="s">
        <v>314</v>
      </c>
      <c r="L28" s="3" t="s">
        <v>314</v>
      </c>
      <c r="M28" s="3" t="s">
        <v>333</v>
      </c>
    </row>
    <row r="29">
      <c r="A29" s="4" t="s">
        <v>314</v>
      </c>
      <c r="B29" s="5" t="n">
        <v>46191</v>
      </c>
      <c r="C29" s="5" t="n">
        <v>46184</v>
      </c>
      <c r="D29" s="6" t="str">
        <f>IF(OR(C29="",B29=""),"",B29-C29)</f>
      </c>
      <c r="E29" s="7" t="n">
        <v>705965.351204371</v>
      </c>
      <c r="F29" s="9" t="n">
        <v>19.6087786259542</v>
      </c>
      <c r="G29" s="8" t="n">
        <v>254359.373294843</v>
      </c>
      <c r="H29" s="10" t="n">
        <v>7.06504452926209</v>
      </c>
      <c r="I29" s="13" t="str">
        <f>=HYPERLINK("https://ucloud.univie.ac.at/index.php/f/1527059776","Open Cytogram")</f>
      </c>
      <c r="J29" s="2" t="s">
        <v>314</v>
      </c>
      <c r="K29" t="s">
        <v>314</v>
      </c>
      <c r="L29" t="s">
        <v>314</v>
      </c>
      <c r="M29" t="s">
        <v>341</v>
      </c>
    </row>
    <row r="30">
      <c r="A30" s="4" t="s">
        <v>314</v>
      </c>
      <c r="B30" s="5" t="n">
        <v>46198</v>
      </c>
      <c r="C30" s="5" t="n">
        <v>46184</v>
      </c>
      <c r="D30" s="6" t="str">
        <f>IF(OR(C30="",B30=""),"",B30-C30)</f>
      </c>
      <c r="E30" s="7" t="n">
        <v>5860502.94551188</v>
      </c>
      <c r="F30" s="9" t="n">
        <v>44.9452320467645</v>
      </c>
      <c r="G30" s="8" t="n">
        <v>3913650.56310226</v>
      </c>
      <c r="H30" s="10" t="n">
        <v>30.0144773143216</v>
      </c>
      <c r="I30" s="13" t="str">
        <f>=HYPERLINK("https://ucloud.univie.ac.at/index.php/f/1537345531","Open Cytogram")</f>
      </c>
      <c r="J30" s="2" t="s">
        <v>314</v>
      </c>
      <c r="K30" s="3" t="s">
        <v>314</v>
      </c>
      <c r="L30" s="3" t="s">
        <v>314</v>
      </c>
      <c r="M30" s="3" t="s">
        <v>343</v>
      </c>
    </row>
    <row r="31">
      <c r="A31" s="4" t="s">
        <v>314</v>
      </c>
      <c r="B31" s="5" t="n">
        <v>46205</v>
      </c>
      <c r="C31" s="5" t="n">
        <v>46184</v>
      </c>
      <c r="D31" s="6" t="str">
        <f>IF(OR(C31="",B31=""),"",B31-C31)</f>
      </c>
      <c r="E31" s="7" t="n">
        <v>4103739.00365972</v>
      </c>
      <c r="F31" s="9" t="n">
        <v>43.9096706063929</v>
      </c>
      <c r="G31" s="8" t="n">
        <v>3571175.33497648</v>
      </c>
      <c r="H31" s="10" t="n">
        <v>38.211283051054</v>
      </c>
      <c r="I31" s="13" t="str">
        <f>=HYPERLINK("https://ucloud.univie.ac.at/index.php/f/1547933978","Open Cytogram")</f>
      </c>
      <c r="J31" s="2" t="s">
        <v>314</v>
      </c>
      <c r="K31" t="s">
        <v>314</v>
      </c>
      <c r="L31" t="s">
        <v>314</v>
      </c>
      <c r="M31" t="s">
        <v>345</v>
      </c>
    </row>
    <row r="32">
      <c r="A32" s="16" t="s">
        <v>314</v>
      </c>
      <c r="B32" s="17" t="n">
        <v>46212</v>
      </c>
      <c r="C32" s="17" t="n">
        <v>46184</v>
      </c>
      <c r="D32" s="18" t="str">
        <f>IF(OR(C32="",B32=""),"",B32-C32)</f>
      </c>
      <c r="E32" s="19" t="n">
        <v>382713.416319534</v>
      </c>
      <c r="F32" s="21" t="n">
        <v>13.8768898488121</v>
      </c>
      <c r="G32" s="20" t="n">
        <v>31644.5918163039</v>
      </c>
      <c r="H32" s="22" t="n">
        <v>1.14740820734341</v>
      </c>
      <c r="I32" s="23" t="str">
        <f>=HYPERLINK("https://ucloud.univie.ac.at/index.php/f/1552579218","Open Cytogram")</f>
      </c>
      <c r="J32" s="14" t="s">
        <v>314</v>
      </c>
      <c r="K32" s="15" t="s">
        <v>314</v>
      </c>
      <c r="L32" s="15" t="s">
        <v>314</v>
      </c>
      <c r="M32" s="15" t="s">
        <v>347</v>
      </c>
    </row>
    <row r="33">
      <c r="A33" s="4" t="s">
        <v>349</v>
      </c>
      <c r="B33" s="5" t="n">
        <v>46184</v>
      </c>
      <c r="C33" s="5" t="n">
        <v>46184</v>
      </c>
      <c r="D33" s="6" t="str">
        <f>IF(OR(C33="",B33=""),"",B33-C33)</f>
      </c>
      <c r="E33" s="7" t="n">
        <v>752544.066907969</v>
      </c>
      <c r="F33" s="9" t="n">
        <v>36.7534456355283</v>
      </c>
      <c r="G33" s="8" t="n">
        <v>949944.357185912</v>
      </c>
      <c r="H33" s="10" t="n">
        <v>46.3942642349993</v>
      </c>
      <c r="I33" s="13" t="str">
        <f>=HYPERLINK("https://ucloud.univie.ac.at/index.php/f/1525440401","Open Cytogram")</f>
      </c>
      <c r="J33" s="2" t="s">
        <v>314</v>
      </c>
      <c r="K33" t="s">
        <v>314</v>
      </c>
      <c r="L33" t="s">
        <v>314</v>
      </c>
      <c r="M33" t="s">
        <v>333</v>
      </c>
    </row>
    <row r="34">
      <c r="A34" s="4" t="s">
        <v>314</v>
      </c>
      <c r="B34" s="5" t="n">
        <v>46191</v>
      </c>
      <c r="C34" s="5" t="n">
        <v>46184</v>
      </c>
      <c r="D34" s="6" t="str">
        <f>IF(OR(C34="",B34=""),"",B34-C34)</f>
      </c>
      <c r="E34" s="7" t="n">
        <v>1723689.123926</v>
      </c>
      <c r="F34" s="9" t="n">
        <v>30.0082234792793</v>
      </c>
      <c r="G34" s="8" t="n">
        <v>1390602.87651064</v>
      </c>
      <c r="H34" s="10" t="n">
        <v>24.2094246056468</v>
      </c>
      <c r="I34" s="13" t="str">
        <f>=HYPERLINK("https://ucloud.univie.ac.at/index.php/f/1527059776","Open Cytogram")</f>
      </c>
      <c r="J34" s="2" t="s">
        <v>314</v>
      </c>
      <c r="K34" s="3" t="s">
        <v>314</v>
      </c>
      <c r="L34" s="3" t="s">
        <v>314</v>
      </c>
      <c r="M34" s="3" t="s">
        <v>341</v>
      </c>
    </row>
    <row r="35">
      <c r="A35" s="4" t="s">
        <v>314</v>
      </c>
      <c r="B35" s="5" t="n">
        <v>46198</v>
      </c>
      <c r="C35" s="5" t="n">
        <v>46184</v>
      </c>
      <c r="D35" s="6" t="str">
        <f>IF(OR(C35="",B35=""),"",B35-C35)</f>
      </c>
      <c r="E35" s="7" t="n">
        <v>2100995.14730917</v>
      </c>
      <c r="F35" s="9" t="n">
        <v>23.303849263715</v>
      </c>
      <c r="G35" s="8" t="n">
        <v>5696610.54135306</v>
      </c>
      <c r="H35" s="10" t="n">
        <v>63.1857496385955</v>
      </c>
      <c r="I35" s="13" t="str">
        <f>=HYPERLINK("https://ucloud.univie.ac.at/index.php/f/1537345531","Open Cytogram")</f>
      </c>
      <c r="J35" s="2" t="s">
        <v>314</v>
      </c>
      <c r="K35" t="s">
        <v>314</v>
      </c>
      <c r="L35" t="s">
        <v>314</v>
      </c>
      <c r="M35" t="s">
        <v>343</v>
      </c>
    </row>
    <row r="36">
      <c r="A36" s="4" t="s">
        <v>314</v>
      </c>
      <c r="B36" s="5" t="n">
        <v>46205</v>
      </c>
      <c r="C36" s="5" t="n">
        <v>46184</v>
      </c>
      <c r="D36" s="6" t="str">
        <f>IF(OR(C36="",B36=""),"",B36-C36)</f>
      </c>
      <c r="E36" s="7" t="n">
        <v>3710470.33547516</v>
      </c>
      <c r="F36" s="9" t="n">
        <v>38.0328867235079</v>
      </c>
      <c r="G36" s="8" t="n">
        <v>3767904.89097491</v>
      </c>
      <c r="H36" s="10" t="n">
        <v>38.6215996751929</v>
      </c>
      <c r="I36" s="13" t="str">
        <f>=HYPERLINK("https://ucloud.univie.ac.at/index.php/f/1547933978","Open Cytogram")</f>
      </c>
      <c r="J36" s="2" t="s">
        <v>314</v>
      </c>
      <c r="K36" s="3" t="s">
        <v>314</v>
      </c>
      <c r="L36" s="3" t="s">
        <v>314</v>
      </c>
      <c r="M36" s="3" t="s">
        <v>345</v>
      </c>
    </row>
    <row r="37">
      <c r="A37" s="16" t="s">
        <v>314</v>
      </c>
      <c r="B37" s="17" t="n">
        <v>46212</v>
      </c>
      <c r="C37" s="17" t="n">
        <v>46184</v>
      </c>
      <c r="D37" s="18" t="str">
        <f>IF(OR(C37="",B37=""),"",B37-C37)</f>
      </c>
      <c r="E37" s="19" t="n">
        <v>2143231.01906385</v>
      </c>
      <c r="F37" s="21" t="n">
        <v>36.6805928578534</v>
      </c>
      <c r="G37" s="20" t="n">
        <v>839565.344281418</v>
      </c>
      <c r="H37" s="22" t="n">
        <v>14.3688451208594</v>
      </c>
      <c r="I37" s="23" t="str">
        <f>=HYPERLINK("https://ucloud.univie.ac.at/index.php/f/1552579218","Open Cytogram")</f>
      </c>
      <c r="J37" s="14" t="s">
        <v>314</v>
      </c>
      <c r="K37" s="24" t="s">
        <v>314</v>
      </c>
      <c r="L37" s="24" t="s">
        <v>314</v>
      </c>
      <c r="M37" s="24" t="s">
        <v>347</v>
      </c>
    </row>
    <row r="38">
      <c r="A38" s="16" t="s">
        <v>350</v>
      </c>
      <c r="B38" s="17" t="n">
        <v>46198</v>
      </c>
      <c r="C38" s="17" t="n">
        <v>46185</v>
      </c>
      <c r="D38" s="18" t="str">
        <f>IF(OR(C38="",B38=""),"",B38-C38)</f>
      </c>
      <c r="E38" s="19" t="n">
        <v>3670283.88646478</v>
      </c>
      <c r="F38" s="21" t="n">
        <v>43.8578999842577</v>
      </c>
      <c r="G38" s="20" t="n">
        <v>3235101.86546853</v>
      </c>
      <c r="H38" s="22" t="n">
        <v>38.6577110772944</v>
      </c>
      <c r="I38" s="23" t="str">
        <f>=HYPERLINK("https://ucloud.univie.ac.at/index.php/f/1537345531","Open Cytogram")</f>
      </c>
      <c r="J38" s="14" t="s">
        <v>314</v>
      </c>
      <c r="K38" s="15" t="s">
        <v>314</v>
      </c>
      <c r="L38" s="15" t="s">
        <v>314</v>
      </c>
      <c r="M38" s="15" t="s">
        <v>343</v>
      </c>
    </row>
    <row r="39">
      <c r="A39" s="16" t="s">
        <v>352</v>
      </c>
      <c r="B39" s="17" t="n">
        <v>46198</v>
      </c>
      <c r="C39" s="17" t="n">
        <v>46185</v>
      </c>
      <c r="D39" s="18" t="str">
        <f>IF(OR(C39="",B39=""),"",B39-C39)</f>
      </c>
      <c r="E39" s="19" t="n">
        <v>4991638.78169958</v>
      </c>
      <c r="F39" s="21" t="n">
        <v>48.062408828566</v>
      </c>
      <c r="G39" s="20" t="n">
        <v>2997091.11331922</v>
      </c>
      <c r="H39" s="22" t="n">
        <v>28.8577408511448</v>
      </c>
      <c r="I39" s="23" t="str">
        <f>=HYPERLINK("https://ucloud.univie.ac.at/index.php/f/1537345531","Open Cytogram")</f>
      </c>
      <c r="J39" s="14" t="s">
        <v>314</v>
      </c>
      <c r="K39" s="24" t="s">
        <v>314</v>
      </c>
      <c r="L39" s="24" t="s">
        <v>314</v>
      </c>
      <c r="M39" s="24" t="s">
        <v>343</v>
      </c>
    </row>
    <row r="40">
      <c r="A40" s="16" t="s">
        <v>353</v>
      </c>
      <c r="B40" s="17" t="n">
        <v>46198</v>
      </c>
      <c r="C40" s="17" t="n">
        <v>46185</v>
      </c>
      <c r="D40" s="18" t="str">
        <f>IF(OR(C40="",B40=""),"",B40-C40)</f>
      </c>
      <c r="E40" s="19" t="n">
        <v>14159499.418447</v>
      </c>
      <c r="F40" s="21" t="n">
        <v>45.5593661305582</v>
      </c>
      <c r="G40" s="20" t="n">
        <v>8854051.68047732</v>
      </c>
      <c r="H40" s="22" t="n">
        <v>28.4886471144749</v>
      </c>
      <c r="I40" s="23" t="str">
        <f>=HYPERLINK("https://ucloud.univie.ac.at/index.php/f/1537345531","Open Cytogram")</f>
      </c>
      <c r="J40" s="14" t="s">
        <v>314</v>
      </c>
      <c r="K40" s="15" t="s">
        <v>314</v>
      </c>
      <c r="L40" s="15" t="s">
        <v>314</v>
      </c>
      <c r="M40" s="15" t="s">
        <v>343</v>
      </c>
    </row>
    <row r="41">
      <c r="A41" s="16" t="s">
        <v>354</v>
      </c>
      <c r="B41" s="17" t="n">
        <v>46198</v>
      </c>
      <c r="C41" s="17" t="n">
        <v>46185</v>
      </c>
      <c r="D41" s="18" t="str">
        <f>IF(OR(C41="",B41=""),"",B41-C41)</f>
      </c>
      <c r="E41" s="19" t="n">
        <v>14152148.6075873</v>
      </c>
      <c r="F41" s="21" t="n">
        <v>53.0444964871194</v>
      </c>
      <c r="G41" s="20" t="n">
        <v>8585747.08409921</v>
      </c>
      <c r="H41" s="22" t="n">
        <v>32.1807411489186</v>
      </c>
      <c r="I41" s="23" t="str">
        <f>=HYPERLINK("https://ucloud.univie.ac.at/index.php/f/1537345531","Open Cytogram")</f>
      </c>
      <c r="J41" s="14" t="s">
        <v>314</v>
      </c>
      <c r="K41" s="24" t="s">
        <v>314</v>
      </c>
      <c r="L41" s="24" t="s">
        <v>314</v>
      </c>
      <c r="M41" s="24" t="s">
        <v>343</v>
      </c>
    </row>
    <row r="42">
      <c r="A42" s="16" t="s">
        <v>355</v>
      </c>
      <c r="B42" s="17" t="n">
        <v>46198</v>
      </c>
      <c r="C42" s="17" t="n">
        <v>46185</v>
      </c>
      <c r="D42" s="18" t="str">
        <f>IF(OR(C42="",B42=""),"",B42-C42)</f>
      </c>
      <c r="E42" s="19" t="n">
        <v>10357292.5012806</v>
      </c>
      <c r="F42" s="21" t="n">
        <v>42.3075479488046</v>
      </c>
      <c r="G42" s="20" t="n">
        <v>8947774.51893816</v>
      </c>
      <c r="H42" s="22" t="n">
        <v>36.5499380700372</v>
      </c>
      <c r="I42" s="23" t="str">
        <f>=HYPERLINK("https://ucloud.univie.ac.at/index.php/f/1537345531","Open Cytogram")</f>
      </c>
      <c r="J42" s="14" t="s">
        <v>314</v>
      </c>
      <c r="K42" s="15" t="s">
        <v>314</v>
      </c>
      <c r="L42" s="15" t="s">
        <v>314</v>
      </c>
      <c r="M42" s="15" t="s">
        <v>343</v>
      </c>
    </row>
    <row r="43">
      <c r="A43" s="4" t="s">
        <v>356</v>
      </c>
      <c r="B43" s="5" t="n">
        <v>46204</v>
      </c>
      <c r="C43" s="5" t="n">
        <v>46199</v>
      </c>
      <c r="D43" s="6" t="str">
        <f>IF(OR(C43="",B43=""),"",B43-C43)</f>
      </c>
      <c r="E43" s="7" t="n">
        <v>4097457.84545469</v>
      </c>
      <c r="F43" s="9" t="n">
        <v>33.5732544060272</v>
      </c>
      <c r="G43" s="8" t="n">
        <v>5841196.66808457</v>
      </c>
      <c r="H43" s="10" t="n">
        <v>47.8608906228979</v>
      </c>
      <c r="I43" s="13" t="str">
        <f>=HYPERLINK("https://ucloud.univie.ac.at/index.php/f/1543012007","Open Cytogram")</f>
      </c>
      <c r="J43" s="2" t="s">
        <v>314</v>
      </c>
      <c r="K43" t="s">
        <v>314</v>
      </c>
      <c r="L43" t="s">
        <v>314</v>
      </c>
      <c r="M43" t="s">
        <v>358</v>
      </c>
    </row>
    <row r="44">
      <c r="A44" s="16" t="s">
        <v>314</v>
      </c>
      <c r="B44" s="17" t="n">
        <v>46211</v>
      </c>
      <c r="C44" s="17" t="n">
        <v>46199</v>
      </c>
      <c r="D44" s="18" t="str">
        <f>IF(OR(C44="",B44=""),"",B44-C44)</f>
      </c>
      <c r="E44" s="19" t="n">
        <v>9374771.50771236</v>
      </c>
      <c r="F44" s="21" t="n">
        <v>40.9890474610023</v>
      </c>
      <c r="G44" s="20" t="n">
        <v>11787300.1194873</v>
      </c>
      <c r="H44" s="22" t="n">
        <v>51.537277856561</v>
      </c>
      <c r="I44" s="23" t="str">
        <f>=HYPERLINK("https://ucloud.univie.ac.at/index.php/f/1547933978","Open Cytogram")</f>
      </c>
      <c r="J44" s="14" t="s">
        <v>314</v>
      </c>
      <c r="K44" s="15" t="s">
        <v>314</v>
      </c>
      <c r="L44" s="15" t="s">
        <v>314</v>
      </c>
      <c r="M44" s="15" t="s">
        <v>345</v>
      </c>
    </row>
    <row r="45">
      <c r="A45" s="4" t="s">
        <v>360</v>
      </c>
      <c r="B45" s="5" t="n">
        <v>46204</v>
      </c>
      <c r="C45" s="5" t="n">
        <v>46199</v>
      </c>
      <c r="D45" s="6" t="str">
        <f>IF(OR(C45="",B45=""),"",B45-C45)</f>
      </c>
      <c r="E45" s="7" t="n">
        <v>6260610.24079987</v>
      </c>
      <c r="F45" s="9" t="n">
        <v>39.9494361732012</v>
      </c>
      <c r="G45" s="8" t="n">
        <v>6031065.01348777</v>
      </c>
      <c r="H45" s="10" t="n">
        <v>38.4846903968859</v>
      </c>
      <c r="I45" s="13" t="str">
        <f>=HYPERLINK("https://ucloud.univie.ac.at/index.php/f/1543012007","Open Cytogram")</f>
      </c>
      <c r="J45" s="2" t="s">
        <v>314</v>
      </c>
      <c r="K45" t="s">
        <v>314</v>
      </c>
      <c r="L45" t="s">
        <v>314</v>
      </c>
      <c r="M45" t="s">
        <v>358</v>
      </c>
    </row>
    <row r="46">
      <c r="A46" s="16" t="s">
        <v>314</v>
      </c>
      <c r="B46" s="17" t="n">
        <v>46211</v>
      </c>
      <c r="C46" s="17" t="n">
        <v>46199</v>
      </c>
      <c r="D46" s="18" t="str">
        <f>IF(OR(C46="",B46=""),"",B46-C46)</f>
      </c>
      <c r="E46" s="19" t="n">
        <v>7419767.62980665</v>
      </c>
      <c r="F46" s="21" t="n">
        <v>44.2378111499691</v>
      </c>
      <c r="G46" s="20" t="n">
        <v>7278300.70606126</v>
      </c>
      <c r="H46" s="22" t="n">
        <v>43.3943632997326</v>
      </c>
      <c r="I46" s="23" t="str">
        <f>=HYPERLINK("https://ucloud.univie.ac.at/index.php/f/1547933978","Open Cytogram")</f>
      </c>
      <c r="J46" s="14" t="s">
        <v>314</v>
      </c>
      <c r="K46" s="15" t="s">
        <v>314</v>
      </c>
      <c r="L46" s="15" t="s">
        <v>314</v>
      </c>
      <c r="M46" s="15" t="s">
        <v>345</v>
      </c>
    </row>
    <row r="47">
      <c r="A47" s="4" t="s">
        <v>361</v>
      </c>
      <c r="B47" s="5" t="n">
        <v>46238</v>
      </c>
      <c r="C47" s="5"/>
      <c r="D47" s="6" t="str">
        <f>IF(OR(C47="",B47=""),"",B47-C47)</f>
      </c>
      <c r="E47" s="7" t="n">
        <v>5206475.1775283</v>
      </c>
      <c r="F47" s="9" t="n">
        <v>45.4807591485792</v>
      </c>
      <c r="G47" s="8" t="n">
        <v>4767750.87150257</v>
      </c>
      <c r="H47" s="10" t="n">
        <v>41.648317080843</v>
      </c>
      <c r="I47" s="13" t="str">
        <f>=HYPERLINK("https://ucloud.univie.ac.at/index.php/f/1567854609","Open Cytogram")</f>
      </c>
      <c r="J47" s="2" t="s">
        <v>314</v>
      </c>
      <c r="K47" t="s">
        <v>314</v>
      </c>
      <c r="L47" t="s">
        <v>314</v>
      </c>
      <c r="M47" t="s">
        <v>362</v>
      </c>
    </row>
    <row r="48">
      <c r="A48" s="16" t="s">
        <v>314</v>
      </c>
      <c r="B48" s="17" t="n">
        <v>46247</v>
      </c>
      <c r="C48" s="17"/>
      <c r="D48" s="18" t="str">
        <f>IF(OR(C48="",B48=""),"",B48-C48)</f>
      </c>
      <c r="E48" s="19" t="n">
        <v>10806792.7716958</v>
      </c>
      <c r="F48" s="21" t="n">
        <v>43.1099107044427</v>
      </c>
      <c r="G48" s="20" t="n">
        <v>11780937.8815341</v>
      </c>
      <c r="H48" s="22" t="n">
        <v>46.995921067137</v>
      </c>
      <c r="I48" s="23" t="str">
        <f>=HYPERLINK("https://ucloud.univie.ac.at/index.php/f/1576432618","Open Cytogram")</f>
      </c>
      <c r="J48" s="14" t="s">
        <v>314</v>
      </c>
      <c r="K48" s="15" t="s">
        <v>314</v>
      </c>
      <c r="L48" s="15" t="s">
        <v>314</v>
      </c>
      <c r="M48" s="15" t="s">
        <v>363</v>
      </c>
    </row>
    <row r="49">
      <c r="A49" s="4" t="s">
        <v>364</v>
      </c>
      <c r="B49" s="5" t="n">
        <v>46238</v>
      </c>
      <c r="C49" s="5"/>
      <c r="D49" s="6" t="str">
        <f>IF(OR(C49="",B49=""),"",B49-C49)</f>
      </c>
      <c r="E49" s="7" t="n">
        <v>5373922.6212782</v>
      </c>
      <c r="F49" s="9" t="n">
        <v>34.4636465109118</v>
      </c>
      <c r="G49" s="8" t="n">
        <v>8176116.5813796</v>
      </c>
      <c r="H49" s="10" t="n">
        <v>52.434471344444</v>
      </c>
      <c r="I49" s="13" t="str">
        <f>=HYPERLINK("https://ucloud.univie.ac.at/index.php/f/1567854609","Open Cytogram")</f>
      </c>
      <c r="J49" s="2" t="s">
        <v>314</v>
      </c>
      <c r="K49" t="s">
        <v>314</v>
      </c>
      <c r="L49" t="s">
        <v>314</v>
      </c>
      <c r="M49" t="s">
        <v>362</v>
      </c>
    </row>
    <row r="50">
      <c r="A50" s="16" t="s">
        <v>314</v>
      </c>
      <c r="B50" s="17" t="n">
        <v>46247</v>
      </c>
      <c r="C50" s="17"/>
      <c r="D50" s="18" t="str">
        <f>IF(OR(C50="",B50=""),"",B50-C50)</f>
      </c>
      <c r="E50" s="19" t="n">
        <v>9047113.6264772</v>
      </c>
      <c r="F50" s="21" t="n">
        <v>34.5587459094268</v>
      </c>
      <c r="G50" s="20" t="n">
        <v>15647810.3494526</v>
      </c>
      <c r="H50" s="22" t="n">
        <v>59.7725113480418</v>
      </c>
      <c r="I50" s="23" t="str">
        <f>=HYPERLINK("https://ucloud.univie.ac.at/index.php/f/1576432618","Open Cytogram")</f>
      </c>
      <c r="J50" s="14" t="s">
        <v>314</v>
      </c>
      <c r="K50" s="15" t="s">
        <v>314</v>
      </c>
      <c r="L50" s="15" t="s">
        <v>314</v>
      </c>
      <c r="M50" s="15" t="s">
        <v>363</v>
      </c>
    </row>
    <row r="51">
      <c r="A51" s="16" t="s">
        <v>365</v>
      </c>
      <c r="B51" s="17" t="n">
        <v>46153</v>
      </c>
      <c r="C51" s="17" t="n">
        <v>46136</v>
      </c>
      <c r="D51" s="18" t="str">
        <f>IF(OR(C51="",B51=""),"",B51-C51)</f>
      </c>
      <c r="E51" s="19" t="n">
        <v>6485196.17879357</v>
      </c>
      <c r="F51" s="21" t="n">
        <v>50.8069253896396</v>
      </c>
      <c r="G51" s="20" t="n">
        <v>4277441.66411109</v>
      </c>
      <c r="H51" s="22" t="n">
        <v>33.5107302070014</v>
      </c>
      <c r="I51" s="23" t="str">
        <f>=HYPERLINK("https://ucloud.univie.ac.at/index.php/f/1514655988","Open Cytogram")</f>
      </c>
      <c r="J51" s="14" t="s">
        <v>314</v>
      </c>
      <c r="K51" s="24" t="s">
        <v>314</v>
      </c>
      <c r="L51" s="24" t="s">
        <v>314</v>
      </c>
      <c r="M51" s="24" t="s">
        <v>318</v>
      </c>
    </row>
    <row r="52">
      <c r="A52" s="16" t="s">
        <v>366</v>
      </c>
      <c r="B52" s="17" t="n">
        <v>46153</v>
      </c>
      <c r="C52" s="17" t="n">
        <v>46136</v>
      </c>
      <c r="D52" s="18" t="str">
        <f>IF(OR(C52="",B52=""),"",B52-C52)</f>
      </c>
      <c r="E52" s="19" t="n">
        <v>6095627.43052988</v>
      </c>
      <c r="F52" s="21" t="n">
        <v>58.1661709801936</v>
      </c>
      <c r="G52" s="20" t="n">
        <v>3451005.78203628</v>
      </c>
      <c r="H52" s="22" t="n">
        <v>32.9304562424856</v>
      </c>
      <c r="I52" s="23" t="str">
        <f>=HYPERLINK("https://ucloud.univie.ac.at/index.php/f/1514655988","Open Cytogram")</f>
      </c>
      <c r="J52" s="14" t="s">
        <v>314</v>
      </c>
      <c r="K52" s="15" t="s">
        <v>314</v>
      </c>
      <c r="L52" s="15" t="s">
        <v>314</v>
      </c>
      <c r="M52" s="15" t="s">
        <v>318</v>
      </c>
    </row>
    <row r="53">
      <c r="A53" s="16" t="s">
        <v>367</v>
      </c>
      <c r="B53" s="17" t="n">
        <v>46153</v>
      </c>
      <c r="C53" s="17" t="n">
        <v>46136</v>
      </c>
      <c r="D53" s="18" t="str">
        <f>IF(OR(C53="",B53=""),"",B53-C53)</f>
      </c>
      <c r="E53" s="19" t="n">
        <v>1953130.8482536</v>
      </c>
      <c r="F53" s="21" t="n">
        <v>48.4235966165001</v>
      </c>
      <c r="G53" s="20" t="n">
        <v>1222479.13120047</v>
      </c>
      <c r="H53" s="22" t="n">
        <v>30.3086894430408</v>
      </c>
      <c r="I53" s="23" t="str">
        <f>=HYPERLINK("https://ucloud.univie.ac.at/index.php/f/1514655988","Open Cytogram")</f>
      </c>
      <c r="J53" s="14" t="s">
        <v>314</v>
      </c>
      <c r="K53" s="24" t="s">
        <v>314</v>
      </c>
      <c r="L53" s="24" t="s">
        <v>314</v>
      </c>
      <c r="M53" s="24" t="s">
        <v>318</v>
      </c>
    </row>
    <row r="54">
      <c r="A54" s="4" t="s">
        <v>368</v>
      </c>
      <c r="B54" s="5" t="n">
        <v>46183</v>
      </c>
      <c r="C54" s="5" t="n">
        <v>46171</v>
      </c>
      <c r="D54" s="6" t="str">
        <f>IF(OR(C54="",B54=""),"",B54-C54)</f>
      </c>
      <c r="E54" s="7" t="n">
        <v>12372689.4236214</v>
      </c>
      <c r="F54" s="9" t="n">
        <v>53.1184323476305</v>
      </c>
      <c r="G54" s="8" t="n">
        <v>5728186.33220657</v>
      </c>
      <c r="H54" s="10" t="n">
        <v>24.5922505402125</v>
      </c>
      <c r="I54" s="13" t="str">
        <f>=HYPERLINK("https://ucloud.univie.ac.at/index.php/f/1518571338","Open Cytogram")</f>
      </c>
      <c r="J54" s="2" t="s">
        <v>314</v>
      </c>
      <c r="K54" s="3" t="s">
        <v>314</v>
      </c>
      <c r="L54" s="3" t="s">
        <v>314</v>
      </c>
      <c r="M54" s="3" t="s">
        <v>328</v>
      </c>
    </row>
    <row r="55">
      <c r="A55" s="16" t="s">
        <v>314</v>
      </c>
      <c r="B55" s="17" t="n">
        <v>46189</v>
      </c>
      <c r="C55" s="17" t="n">
        <v>46171</v>
      </c>
      <c r="D55" s="18" t="str">
        <f>IF(OR(C55="",B55=""),"",B55-C55)</f>
      </c>
      <c r="E55" s="19" t="n">
        <v>13834165.1188444</v>
      </c>
      <c r="F55" s="21" t="n">
        <v>58.6651177526666</v>
      </c>
      <c r="G55" s="20" t="n">
        <v>7457499.09061737</v>
      </c>
      <c r="H55" s="22" t="n">
        <v>31.6242475446193</v>
      </c>
      <c r="I55" s="23" t="str">
        <f>=HYPERLINK("https://ucloud.univie.ac.at/index.php/f/1525440401","Open Cytogram")</f>
      </c>
      <c r="J55" s="14" t="s">
        <v>314</v>
      </c>
      <c r="K55" s="24" t="s">
        <v>314</v>
      </c>
      <c r="L55" s="24" t="s">
        <v>314</v>
      </c>
      <c r="M55" s="24" t="s">
        <v>333</v>
      </c>
    </row>
    <row r="56">
      <c r="A56" s="4" t="s">
        <v>369</v>
      </c>
      <c r="B56" s="5" t="n">
        <v>46183</v>
      </c>
      <c r="C56" s="5" t="n">
        <v>46171</v>
      </c>
      <c r="D56" s="6" t="str">
        <f>IF(OR(C56="",B56=""),"",B56-C56)</f>
      </c>
      <c r="E56" s="7" t="n">
        <v>7693780.08390432</v>
      </c>
      <c r="F56" s="9" t="n">
        <v>48.7700470276137</v>
      </c>
      <c r="G56" s="8" t="n">
        <v>5255054.39035374</v>
      </c>
      <c r="H56" s="10" t="n">
        <v>33.3112263354636</v>
      </c>
      <c r="I56" s="13" t="str">
        <f>=HYPERLINK("https://ucloud.univie.ac.at/index.php/f/1518571338","Open Cytogram")</f>
      </c>
      <c r="J56" s="2" t="s">
        <v>314</v>
      </c>
      <c r="K56" s="3" t="s">
        <v>314</v>
      </c>
      <c r="L56" s="3" t="s">
        <v>314</v>
      </c>
      <c r="M56" s="3" t="s">
        <v>328</v>
      </c>
    </row>
    <row r="57">
      <c r="A57" s="16" t="s">
        <v>314</v>
      </c>
      <c r="B57" s="17" t="n">
        <v>46189</v>
      </c>
      <c r="C57" s="17" t="n">
        <v>46171</v>
      </c>
      <c r="D57" s="18" t="str">
        <f>IF(OR(C57="",B57=""),"",B57-C57)</f>
      </c>
      <c r="E57" s="19" t="n">
        <v>15217581.6307288</v>
      </c>
      <c r="F57" s="21" t="n">
        <v>53.2621486162563</v>
      </c>
      <c r="G57" s="20" t="n">
        <v>11120875.6684428</v>
      </c>
      <c r="H57" s="22" t="n">
        <v>38.9235127478754</v>
      </c>
      <c r="I57" s="23" t="str">
        <f>=HYPERLINK("https://ucloud.univie.ac.at/index.php/f/1525440401","Open Cytogram")</f>
      </c>
      <c r="J57" s="14" t="s">
        <v>314</v>
      </c>
      <c r="K57" s="24" t="s">
        <v>314</v>
      </c>
      <c r="L57" s="24" t="s">
        <v>314</v>
      </c>
      <c r="M57" s="24" t="s">
        <v>333</v>
      </c>
    </row>
    <row r="58">
      <c r="A58" s="16" t="s">
        <v>370</v>
      </c>
      <c r="B58" s="17" t="n">
        <v>46197</v>
      </c>
      <c r="C58" s="17" t="n">
        <v>46171</v>
      </c>
      <c r="D58" s="18" t="str">
        <f>IF(OR(C58="",B58=""),"",B58-C58)</f>
      </c>
      <c r="E58" s="19" t="n">
        <v>22487968.1224576</v>
      </c>
      <c r="F58" s="21" t="n">
        <v>55.0051692363015</v>
      </c>
      <c r="G58" s="20" t="n">
        <v>14771454.4225149</v>
      </c>
      <c r="H58" s="22" t="n">
        <v>36.1307142536072</v>
      </c>
      <c r="I58" s="23" t="str">
        <f>=HYPERLINK("https://ucloud.univie.ac.at/index.php/f/1537345531","Open Cytogram")</f>
      </c>
      <c r="J58" s="14" t="s">
        <v>314</v>
      </c>
      <c r="K58" s="15" t="s">
        <v>314</v>
      </c>
      <c r="L58" s="15" t="s">
        <v>314</v>
      </c>
      <c r="M58" s="15" t="s">
        <v>343</v>
      </c>
    </row>
    <row r="59">
      <c r="A59" s="16" t="s">
        <v>372</v>
      </c>
      <c r="B59" s="17" t="n">
        <v>46197</v>
      </c>
      <c r="C59" s="17" t="n">
        <v>46171</v>
      </c>
      <c r="D59" s="18" t="str">
        <f>IF(OR(C59="",B59=""),"",B59-C59)</f>
      </c>
      <c r="E59" s="19" t="n">
        <v>18973361.680176</v>
      </c>
      <c r="F59" s="21" t="n">
        <v>52.1505240560677</v>
      </c>
      <c r="G59" s="20" t="n">
        <v>13225946.4392684</v>
      </c>
      <c r="H59" s="22" t="n">
        <v>36.3530748831923</v>
      </c>
      <c r="I59" s="23" t="str">
        <f>=HYPERLINK("https://ucloud.univie.ac.at/index.php/f/1537345531","Open Cytogram")</f>
      </c>
      <c r="J59" s="14" t="s">
        <v>314</v>
      </c>
      <c r="K59" s="24" t="s">
        <v>314</v>
      </c>
      <c r="L59" s="24" t="s">
        <v>314</v>
      </c>
      <c r="M59" s="24" t="s">
        <v>343</v>
      </c>
    </row>
    <row r="60">
      <c r="A60" s="4" t="s">
        <v>373</v>
      </c>
      <c r="B60" s="5" t="n">
        <v>46183</v>
      </c>
      <c r="C60" s="5" t="n">
        <v>46171</v>
      </c>
      <c r="D60" s="6" t="str">
        <f>IF(OR(C60="",B60=""),"",B60-C60)</f>
      </c>
      <c r="E60" s="7" t="n">
        <v>3460251.19857138</v>
      </c>
      <c r="F60" s="9" t="n">
        <v>45.0749597323752</v>
      </c>
      <c r="G60" s="8" t="n">
        <v>2544302.35189072</v>
      </c>
      <c r="H60" s="10" t="n">
        <v>33.1433527443935</v>
      </c>
      <c r="I60" s="13" t="str">
        <f>=HYPERLINK("https://ucloud.univie.ac.at/index.php/f/1518571338","Open Cytogram")</f>
      </c>
      <c r="J60" s="2" t="s">
        <v>314</v>
      </c>
      <c r="K60" s="3" t="s">
        <v>314</v>
      </c>
      <c r="L60" s="3" t="s">
        <v>314</v>
      </c>
      <c r="M60" s="3" t="s">
        <v>328</v>
      </c>
    </row>
    <row r="61">
      <c r="A61" s="16" t="s">
        <v>314</v>
      </c>
      <c r="B61" s="17" t="n">
        <v>46189</v>
      </c>
      <c r="C61" s="17" t="n">
        <v>46171</v>
      </c>
      <c r="D61" s="18" t="str">
        <f>IF(OR(C61="",B61=""),"",B61-C61)</f>
      </c>
      <c r="E61" s="19" t="n">
        <v>8789239.82820549</v>
      </c>
      <c r="F61" s="21" t="n">
        <v>59.6888080842248</v>
      </c>
      <c r="G61" s="20" t="n">
        <v>3993354.41369342</v>
      </c>
      <c r="H61" s="22" t="n">
        <v>27.1193607035643</v>
      </c>
      <c r="I61" s="23" t="str">
        <f>=HYPERLINK("https://ucloud.univie.ac.at/index.php/f/1525440401","Open Cytogram")</f>
      </c>
      <c r="J61" s="14" t="s">
        <v>314</v>
      </c>
      <c r="K61" s="24" t="s">
        <v>314</v>
      </c>
      <c r="L61" s="24" t="s">
        <v>314</v>
      </c>
      <c r="M61" s="24" t="s">
        <v>333</v>
      </c>
    </row>
    <row r="62">
      <c r="A62" s="4" t="s">
        <v>374</v>
      </c>
      <c r="B62" s="5" t="n">
        <v>46183</v>
      </c>
      <c r="C62" s="5" t="n">
        <v>46171</v>
      </c>
      <c r="D62" s="6" t="str">
        <f>IF(OR(C62="",B62=""),"",B62-C62)</f>
      </c>
      <c r="E62" s="7" t="n">
        <v>8180660.90895894</v>
      </c>
      <c r="F62" s="9" t="n">
        <v>43.01406612529</v>
      </c>
      <c r="G62" s="8" t="n">
        <v>9281068.39405785</v>
      </c>
      <c r="H62" s="10" t="n">
        <v>48.8000290023202</v>
      </c>
      <c r="I62" s="13" t="str">
        <f>=HYPERLINK("https://ucloud.univie.ac.at/index.php/f/1518571338","Open Cytogram")</f>
      </c>
      <c r="J62" s="2" t="s">
        <v>314</v>
      </c>
      <c r="K62" s="3" t="s">
        <v>314</v>
      </c>
      <c r="L62" s="3" t="s">
        <v>314</v>
      </c>
      <c r="M62" s="3" t="s">
        <v>328</v>
      </c>
    </row>
    <row r="63">
      <c r="A63" s="16" t="s">
        <v>314</v>
      </c>
      <c r="B63" s="17" t="n">
        <v>46189</v>
      </c>
      <c r="C63" s="17" t="n">
        <v>46171</v>
      </c>
      <c r="D63" s="18" t="str">
        <f>IF(OR(C63="",B63=""),"",B63-C63)</f>
      </c>
      <c r="E63" s="19" t="n">
        <v>5823797.50322548</v>
      </c>
      <c r="F63" s="21" t="n">
        <v>27.5986191839023</v>
      </c>
      <c r="G63" s="20" t="n">
        <v>14072620.8002358</v>
      </c>
      <c r="H63" s="22" t="n">
        <v>66.6892868733957</v>
      </c>
      <c r="I63" s="23" t="str">
        <f>=HYPERLINK("https://ucloud.univie.ac.at/index.php/f/1525440401","Open Cytogram")</f>
      </c>
      <c r="J63" s="14" t="s">
        <v>314</v>
      </c>
      <c r="K63" s="24" t="s">
        <v>314</v>
      </c>
      <c r="L63" s="24" t="s">
        <v>314</v>
      </c>
      <c r="M63" s="24" t="s">
        <v>333</v>
      </c>
    </row>
    <row r="64">
      <c r="A64" s="4" t="s">
        <v>375</v>
      </c>
      <c r="B64" s="5" t="n">
        <v>46198</v>
      </c>
      <c r="C64" s="5" t="n">
        <v>46185</v>
      </c>
      <c r="D64" s="6" t="str">
        <f>IF(OR(C64="",B64=""),"",B64-C64)</f>
      </c>
      <c r="E64" s="7" t="n">
        <v>6352019.43411578</v>
      </c>
      <c r="F64" s="9" t="n">
        <v>41.6872700958813</v>
      </c>
      <c r="G64" s="8" t="n">
        <v>6021232.94543045</v>
      </c>
      <c r="H64" s="10" t="n">
        <v>39.5163721883857</v>
      </c>
      <c r="I64" s="13" t="str">
        <f>=HYPERLINK("https://ucloud.univie.ac.at/index.php/f/1537345531","Open Cytogram")</f>
      </c>
      <c r="J64" s="2" t="s">
        <v>314</v>
      </c>
      <c r="K64" s="3" t="s">
        <v>314</v>
      </c>
      <c r="L64" s="3" t="s">
        <v>314</v>
      </c>
      <c r="M64" s="3" t="s">
        <v>343</v>
      </c>
    </row>
    <row r="65">
      <c r="A65" s="16" t="s">
        <v>314</v>
      </c>
      <c r="B65" s="17" t="n">
        <v>46204</v>
      </c>
      <c r="C65" s="17" t="n">
        <v>46185</v>
      </c>
      <c r="D65" s="18" t="str">
        <f>IF(OR(C65="",B65=""),"",B65-C65)</f>
      </c>
      <c r="E65" s="19" t="n">
        <v>8148802.28101549</v>
      </c>
      <c r="F65" s="21" t="n">
        <v>42.8866477120326</v>
      </c>
      <c r="G65" s="20" t="n">
        <v>6086756.2475557</v>
      </c>
      <c r="H65" s="22" t="n">
        <v>32.0342256316721</v>
      </c>
      <c r="I65" s="23" t="str">
        <f>=HYPERLINK("https://ucloud.univie.ac.at/index.php/f/1543012007","Open Cytogram")</f>
      </c>
      <c r="J65" s="14" t="s">
        <v>314</v>
      </c>
      <c r="K65" s="24" t="s">
        <v>314</v>
      </c>
      <c r="L65" s="24" t="s">
        <v>314</v>
      </c>
      <c r="M65" s="24" t="s">
        <v>358</v>
      </c>
    </row>
    <row r="66">
      <c r="A66" s="4" t="s">
        <v>377</v>
      </c>
      <c r="B66" s="5" t="n">
        <v>46198</v>
      </c>
      <c r="C66" s="5" t="n">
        <v>46185</v>
      </c>
      <c r="D66" s="6" t="str">
        <f>IF(OR(C66="",B66=""),"",B66-C66)</f>
      </c>
      <c r="E66" s="7" t="n">
        <v>11216418.520505</v>
      </c>
      <c r="F66" s="9" t="n">
        <v>45.8582215710583</v>
      </c>
      <c r="G66" s="8" t="n">
        <v>9563404.92843585</v>
      </c>
      <c r="H66" s="10" t="n">
        <v>39.0998910552613</v>
      </c>
      <c r="I66" s="13" t="str">
        <f>=HYPERLINK("https://ucloud.univie.ac.at/index.php/f/1537345531","Open Cytogram")</f>
      </c>
      <c r="J66" s="2" t="s">
        <v>314</v>
      </c>
      <c r="K66" s="3" t="s">
        <v>314</v>
      </c>
      <c r="L66" s="3" t="s">
        <v>314</v>
      </c>
      <c r="M66" s="3" t="s">
        <v>343</v>
      </c>
    </row>
    <row r="67">
      <c r="A67" s="16" t="s">
        <v>314</v>
      </c>
      <c r="B67" s="17" t="n">
        <v>46204</v>
      </c>
      <c r="C67" s="17" t="n">
        <v>46185</v>
      </c>
      <c r="D67" s="18" t="str">
        <f>IF(OR(C67="",B67=""),"",B67-C67)</f>
      </c>
      <c r="E67" s="19" t="n">
        <v>9211366.97106938</v>
      </c>
      <c r="F67" s="21" t="n">
        <v>41.9456456370457</v>
      </c>
      <c r="G67" s="20" t="n">
        <v>7002701.66060337</v>
      </c>
      <c r="H67" s="22" t="n">
        <v>31.8880838511985</v>
      </c>
      <c r="I67" s="23" t="str">
        <f>=HYPERLINK("https://ucloud.univie.ac.at/index.php/f/1543012007","Open Cytogram")</f>
      </c>
      <c r="J67" s="14" t="s">
        <v>314</v>
      </c>
      <c r="K67" s="24" t="s">
        <v>314</v>
      </c>
      <c r="L67" s="24" t="s">
        <v>314</v>
      </c>
      <c r="M67" s="24" t="s">
        <v>358</v>
      </c>
    </row>
    <row r="68">
      <c r="A68" s="4" t="s">
        <v>378</v>
      </c>
      <c r="B68" s="5" t="n">
        <v>46198</v>
      </c>
      <c r="C68" s="5" t="n">
        <v>46185</v>
      </c>
      <c r="D68" s="6" t="str">
        <f>IF(OR(C68="",B68=""),"",B68-C68)</f>
      </c>
      <c r="E68" s="7" t="n">
        <v>4253234.57553895</v>
      </c>
      <c r="F68" s="9" t="n">
        <v>38.7458745874588</v>
      </c>
      <c r="G68" s="8" t="n">
        <v>5351948.41664147</v>
      </c>
      <c r="H68" s="10" t="n">
        <v>48.7548754875488</v>
      </c>
      <c r="I68" s="13" t="str">
        <f>=HYPERLINK("https://ucloud.univie.ac.at/index.php/f/1537345531","Open Cytogram")</f>
      </c>
      <c r="J68" s="2" t="s">
        <v>314</v>
      </c>
      <c r="K68" s="3" t="s">
        <v>314</v>
      </c>
      <c r="L68" s="3" t="s">
        <v>314</v>
      </c>
      <c r="M68" s="3" t="s">
        <v>343</v>
      </c>
    </row>
    <row r="69">
      <c r="A69" s="16" t="s">
        <v>314</v>
      </c>
      <c r="B69" s="17" t="n">
        <v>46204</v>
      </c>
      <c r="C69" s="17" t="n">
        <v>46185</v>
      </c>
      <c r="D69" s="18" t="str">
        <f>IF(OR(C69="",B69=""),"",B69-C69)</f>
      </c>
      <c r="E69" s="19" t="n">
        <v>3342987.04602113</v>
      </c>
      <c r="F69" s="21" t="n">
        <v>32.9023917259211</v>
      </c>
      <c r="G69" s="20" t="n">
        <v>2971087.94684442</v>
      </c>
      <c r="H69" s="22" t="n">
        <v>29.2420814479638</v>
      </c>
      <c r="I69" s="23" t="str">
        <f>=HYPERLINK("https://ucloud.univie.ac.at/index.php/f/1543012007","Open Cytogram")</f>
      </c>
      <c r="J69" s="14" t="s">
        <v>314</v>
      </c>
      <c r="K69" s="24" t="s">
        <v>314</v>
      </c>
      <c r="L69" s="24" t="s">
        <v>314</v>
      </c>
      <c r="M69" s="24" t="s">
        <v>358</v>
      </c>
    </row>
    <row r="70">
      <c r="A70" s="4" t="s">
        <v>379</v>
      </c>
      <c r="B70" s="5" t="n">
        <v>46204</v>
      </c>
      <c r="C70" s="5" t="n">
        <v>46197</v>
      </c>
      <c r="D70" s="6" t="str">
        <f>IF(OR(C70="",B70=""),"",B70-C70)</f>
      </c>
      <c r="E70" s="7" t="n">
        <v>2416762.80046128</v>
      </c>
      <c r="F70" s="9" t="n">
        <v>30.2848384212543</v>
      </c>
      <c r="G70" s="8" t="n">
        <v>3273994.98738155</v>
      </c>
      <c r="H70" s="10" t="n">
        <v>41.0269510793205</v>
      </c>
      <c r="I70" s="13" t="str">
        <f>=HYPERLINK("https://ucloud.univie.ac.at/index.php/f/1543012007","Open Cytogram")</f>
      </c>
      <c r="J70" s="2" t="s">
        <v>314</v>
      </c>
      <c r="K70" s="3" t="s">
        <v>314</v>
      </c>
      <c r="L70" s="3" t="s">
        <v>314</v>
      </c>
      <c r="M70" s="3" t="s">
        <v>358</v>
      </c>
    </row>
    <row r="71">
      <c r="A71" s="16" t="s">
        <v>314</v>
      </c>
      <c r="B71" s="17" t="n">
        <v>46211</v>
      </c>
      <c r="C71" s="17" t="n">
        <v>46197</v>
      </c>
      <c r="D71" s="18" t="str">
        <f>IF(OR(C71="",B71=""),"",B71-C71)</f>
      </c>
      <c r="E71" s="19" t="n">
        <v>9746726.00477949</v>
      </c>
      <c r="F71" s="21" t="n">
        <v>60.5167316508848</v>
      </c>
      <c r="G71" s="20" t="n">
        <v>4884404.32326743</v>
      </c>
      <c r="H71" s="22" t="n">
        <v>30.3269206049959</v>
      </c>
      <c r="I71" s="23" t="str">
        <f>=HYPERLINK("https://ucloud.univie.ac.at/index.php/f/1547933978","Open Cytogram")</f>
      </c>
      <c r="J71" s="14" t="s">
        <v>314</v>
      </c>
      <c r="K71" s="24" t="s">
        <v>314</v>
      </c>
      <c r="L71" s="24" t="s">
        <v>314</v>
      </c>
      <c r="M71" s="24" t="s">
        <v>345</v>
      </c>
    </row>
    <row r="72">
      <c r="A72" s="4" t="s">
        <v>380</v>
      </c>
      <c r="B72" s="5" t="n">
        <v>46204</v>
      </c>
      <c r="C72" s="5" t="n">
        <v>46197</v>
      </c>
      <c r="D72" s="6" t="str">
        <f>IF(OR(C72="",B72=""),"",B72-C72)</f>
      </c>
      <c r="E72" s="7" t="n">
        <v>3576727.40059833</v>
      </c>
      <c r="F72" s="9" t="n">
        <v>31.3723737147966</v>
      </c>
      <c r="G72" s="8" t="n">
        <v>4066501.55733458</v>
      </c>
      <c r="H72" s="10" t="n">
        <v>35.6683057666518</v>
      </c>
      <c r="I72" s="13" t="str">
        <f>=HYPERLINK("https://ucloud.univie.ac.at/index.php/f/1543012007","Open Cytogram")</f>
      </c>
      <c r="J72" s="2" t="s">
        <v>314</v>
      </c>
      <c r="K72" s="3" t="s">
        <v>314</v>
      </c>
      <c r="L72" s="3" t="s">
        <v>314</v>
      </c>
      <c r="M72" s="3" t="s">
        <v>358</v>
      </c>
    </row>
    <row r="73">
      <c r="A73" s="16" t="s">
        <v>314</v>
      </c>
      <c r="B73" s="17" t="n">
        <v>46211</v>
      </c>
      <c r="C73" s="17" t="n">
        <v>46197</v>
      </c>
      <c r="D73" s="18" t="str">
        <f>IF(OR(C73="",B73=""),"",B73-C73)</f>
      </c>
      <c r="E73" s="19" t="n">
        <v>6995431.78649672</v>
      </c>
      <c r="F73" s="21" t="n">
        <v>61.4627064778122</v>
      </c>
      <c r="G73" s="20" t="n">
        <v>3104962.47759411</v>
      </c>
      <c r="H73" s="22" t="n">
        <v>27.2805744104838</v>
      </c>
      <c r="I73" s="23" t="str">
        <f>=HYPERLINK("https://ucloud.univie.ac.at/index.php/f/1547933978","Open Cytogram")</f>
      </c>
      <c r="J73" s="14" t="s">
        <v>314</v>
      </c>
      <c r="K73" s="24" t="s">
        <v>314</v>
      </c>
      <c r="L73" s="24" t="s">
        <v>314</v>
      </c>
      <c r="M73" s="24" t="s">
        <v>345</v>
      </c>
    </row>
    <row r="74">
      <c r="A74" s="4" t="s">
        <v>381</v>
      </c>
      <c r="B74" s="5" t="n">
        <v>46204</v>
      </c>
      <c r="C74" s="5" t="n">
        <v>46197</v>
      </c>
      <c r="D74" s="6" t="str">
        <f>IF(OR(C74="",B74=""),"",B74-C74)</f>
      </c>
      <c r="E74" s="7" t="n">
        <v>2379558.31196831</v>
      </c>
      <c r="F74" s="9" t="n">
        <v>30.1206373782337</v>
      </c>
      <c r="G74" s="8" t="n">
        <v>1847483.16146608</v>
      </c>
      <c r="H74" s="10" t="n">
        <v>23.3855880265789</v>
      </c>
      <c r="I74" s="13" t="str">
        <f>=HYPERLINK("https://ucloud.univie.ac.at/index.php/f/1543012007","Open Cytogram")</f>
      </c>
      <c r="J74" s="2" t="s">
        <v>314</v>
      </c>
      <c r="K74" s="3" t="s">
        <v>314</v>
      </c>
      <c r="L74" s="3" t="s">
        <v>314</v>
      </c>
      <c r="M74" s="3" t="s">
        <v>358</v>
      </c>
    </row>
    <row r="75">
      <c r="A75" s="16" t="s">
        <v>314</v>
      </c>
      <c r="B75" s="17" t="n">
        <v>46211</v>
      </c>
      <c r="C75" s="17" t="n">
        <v>46197</v>
      </c>
      <c r="D75" s="18" t="str">
        <f>IF(OR(C75="",B75=""),"",B75-C75)</f>
      </c>
      <c r="E75" s="19" t="n">
        <v>11595457.1692375</v>
      </c>
      <c r="F75" s="21" t="n">
        <v>43.1410305784487</v>
      </c>
      <c r="G75" s="20" t="n">
        <v>12652663.6432761</v>
      </c>
      <c r="H75" s="22" t="n">
        <v>47.0743793165421</v>
      </c>
      <c r="I75" s="23" t="str">
        <f>=HYPERLINK("https://ucloud.univie.ac.at/index.php/f/1547933978","Open Cytogram")</f>
      </c>
      <c r="J75" s="14" t="s">
        <v>314</v>
      </c>
      <c r="K75" s="24" t="s">
        <v>314</v>
      </c>
      <c r="L75" s="24" t="s">
        <v>314</v>
      </c>
      <c r="M75" s="24" t="s">
        <v>345</v>
      </c>
    </row>
    <row r="76">
      <c r="A76" s="16" t="s">
        <v>382</v>
      </c>
      <c r="B76" s="17" t="n">
        <v>46211</v>
      </c>
      <c r="C76" s="17" t="n">
        <v>46197</v>
      </c>
      <c r="D76" s="18" t="str">
        <f>IF(OR(C76="",B76=""),"",B76-C76)</f>
      </c>
      <c r="E76" s="19" t="n">
        <v>8222333.64110363</v>
      </c>
      <c r="F76" s="21" t="n">
        <v>42.2742593578144</v>
      </c>
      <c r="G76" s="20" t="n">
        <v>9775019.38952857</v>
      </c>
      <c r="H76" s="22" t="n">
        <v>50.2572290225297</v>
      </c>
      <c r="I76" s="23" t="str">
        <f>=HYPERLINK("https://ucloud.univie.ac.at/index.php/f/1547933978","Open Cytogram")</f>
      </c>
      <c r="J76" s="14" t="s">
        <v>314</v>
      </c>
      <c r="K76" s="15" t="s">
        <v>314</v>
      </c>
      <c r="L76" s="15" t="s">
        <v>314</v>
      </c>
      <c r="M76" s="15" t="s">
        <v>345</v>
      </c>
    </row>
    <row r="77">
      <c r="A77" s="4" t="s">
        <v>383</v>
      </c>
      <c r="B77" s="5" t="n">
        <v>46204</v>
      </c>
      <c r="C77" s="5" t="n">
        <v>46197</v>
      </c>
      <c r="D77" s="6" t="str">
        <f>IF(OR(C77="",B77=""),"",B77-C77)</f>
      </c>
      <c r="E77" s="7" t="n">
        <v>5373245.86161938</v>
      </c>
      <c r="F77" s="9" t="n">
        <v>46.1765030742609</v>
      </c>
      <c r="G77" s="8" t="n">
        <v>2852849.95953783</v>
      </c>
      <c r="H77" s="10" t="n">
        <v>24.5167703692795</v>
      </c>
      <c r="I77" s="13" t="str">
        <f>=HYPERLINK("https://ucloud.univie.ac.at/index.php/f/1543012007","Open Cytogram")</f>
      </c>
      <c r="J77" s="13" t="str">
        <f>=HYPERLINK("https://ucloud.univie.ac.at/index.php/f/1544896277","Open Microscopy")</f>
      </c>
      <c r="K77" t="s">
        <v>384</v>
      </c>
      <c r="L77" t="s">
        <v>314</v>
      </c>
      <c r="M77" t="s">
        <v>358</v>
      </c>
    </row>
    <row r="78">
      <c r="A78" s="16" t="s">
        <v>314</v>
      </c>
      <c r="B78" s="17" t="n">
        <v>46211</v>
      </c>
      <c r="C78" s="17" t="n">
        <v>46197</v>
      </c>
      <c r="D78" s="18" t="str">
        <f>IF(OR(C78="",B78=""),"",B78-C78)</f>
      </c>
      <c r="E78" s="19" t="n">
        <v>21352534.4123398</v>
      </c>
      <c r="F78" s="21" t="n">
        <v>73.3813973343452</v>
      </c>
      <c r="G78" s="20" t="n">
        <v>5972664.5122746</v>
      </c>
      <c r="H78" s="22" t="n">
        <v>20.5260162216003</v>
      </c>
      <c r="I78" s="23" t="str">
        <f>=HYPERLINK("https://ucloud.univie.ac.at/index.php/f/1547933978","Open Cytogram")</f>
      </c>
      <c r="J78" s="14" t="s">
        <v>314</v>
      </c>
      <c r="K78" s="15" t="s">
        <v>314</v>
      </c>
      <c r="L78" s="15" t="s">
        <v>314</v>
      </c>
      <c r="M78" s="15" t="s">
        <v>345</v>
      </c>
    </row>
    <row r="79">
      <c r="A79" s="4" t="s">
        <v>385</v>
      </c>
      <c r="B79" s="5" t="n">
        <v>46204</v>
      </c>
      <c r="C79" s="5" t="n">
        <v>46197</v>
      </c>
      <c r="D79" s="6" t="str">
        <f>IF(OR(C79="",B79=""),"",B79-C79)</f>
      </c>
      <c r="E79" s="7" t="n">
        <v>9409467.64669489</v>
      </c>
      <c r="F79" s="9" t="n">
        <v>43.0747085072693</v>
      </c>
      <c r="G79" s="8" t="n">
        <v>5546190.02648057</v>
      </c>
      <c r="H79" s="10" t="n">
        <v>25.389376709371</v>
      </c>
      <c r="I79" s="13" t="str">
        <f>=HYPERLINK("https://ucloud.univie.ac.at/index.php/f/1543012007","Open Cytogram")</f>
      </c>
      <c r="J79" s="2" t="s">
        <v>314</v>
      </c>
      <c r="K79" t="s">
        <v>314</v>
      </c>
      <c r="L79" t="s">
        <v>314</v>
      </c>
      <c r="M79" t="s">
        <v>358</v>
      </c>
    </row>
    <row r="80">
      <c r="A80" s="16" t="s">
        <v>314</v>
      </c>
      <c r="B80" s="17" t="n">
        <v>46211</v>
      </c>
      <c r="C80" s="17" t="n">
        <v>46197</v>
      </c>
      <c r="D80" s="18" t="str">
        <f>IF(OR(C80="",B80=""),"",B80-C80)</f>
      </c>
      <c r="E80" s="19" t="n">
        <v>9002817.01064523</v>
      </c>
      <c r="F80" s="21" t="n">
        <v>42.993672554706</v>
      </c>
      <c r="G80" s="20" t="n">
        <v>10179407.7666739</v>
      </c>
      <c r="H80" s="22" t="n">
        <v>48.6125757975217</v>
      </c>
      <c r="I80" s="23" t="str">
        <f>=HYPERLINK("https://ucloud.univie.ac.at/index.php/f/1547933978","Open Cytogram")</f>
      </c>
      <c r="J80" s="14" t="s">
        <v>314</v>
      </c>
      <c r="K80" s="15" t="s">
        <v>314</v>
      </c>
      <c r="L80" s="15" t="s">
        <v>314</v>
      </c>
      <c r="M80" s="15" t="s">
        <v>345</v>
      </c>
    </row>
    <row r="81">
      <c r="A81" s="4" t="s">
        <v>386</v>
      </c>
      <c r="B81" s="5" t="n">
        <v>46211</v>
      </c>
      <c r="C81" s="5" t="n">
        <v>46203</v>
      </c>
      <c r="D81" s="6" t="str">
        <f>IF(OR(C81="",B81=""),"",B81-C81)</f>
      </c>
      <c r="E81" s="7" t="n">
        <v>2049402.17193218</v>
      </c>
      <c r="F81" s="9" t="n">
        <v>30.265149391782</v>
      </c>
      <c r="G81" s="8" t="n">
        <v>3858903.95996714</v>
      </c>
      <c r="H81" s="10" t="n">
        <v>56.9874992992881</v>
      </c>
      <c r="I81" s="13" t="str">
        <f>=HYPERLINK("https://ucloud.univie.ac.at/index.php/f/1547933978","Open Cytogram")</f>
      </c>
      <c r="J81" s="2" t="s">
        <v>314</v>
      </c>
      <c r="K81" t="s">
        <v>314</v>
      </c>
      <c r="L81" t="s">
        <v>314</v>
      </c>
      <c r="M81" t="s">
        <v>345</v>
      </c>
    </row>
    <row r="82">
      <c r="A82" s="16" t="s">
        <v>314</v>
      </c>
      <c r="B82" s="17" t="n">
        <v>46218</v>
      </c>
      <c r="C82" s="17" t="n">
        <v>46203</v>
      </c>
      <c r="D82" s="18" t="str">
        <f>IF(OR(C82="",B82=""),"",B82-C82)</f>
      </c>
      <c r="E82" s="19" t="n">
        <v>14422891.9195637</v>
      </c>
      <c r="F82" s="21" t="n">
        <v>68.459924126241</v>
      </c>
      <c r="G82" s="20" t="n">
        <v>5072627.0820089</v>
      </c>
      <c r="H82" s="22" t="n">
        <v>24.0778109613367</v>
      </c>
      <c r="I82" s="23" t="str">
        <f>=HYPERLINK("https://ucloud.univie.ac.at/index.php/f/1552579218","Open Cytogram")</f>
      </c>
      <c r="J82" s="14" t="s">
        <v>314</v>
      </c>
      <c r="K82" s="15" t="s">
        <v>314</v>
      </c>
      <c r="L82" s="15" t="s">
        <v>314</v>
      </c>
      <c r="M82" s="15" t="s">
        <v>347</v>
      </c>
    </row>
    <row r="83">
      <c r="A83" s="4" t="s">
        <v>389</v>
      </c>
      <c r="B83" s="5" t="n">
        <v>46211</v>
      </c>
      <c r="C83" s="5" t="n">
        <v>46203</v>
      </c>
      <c r="D83" s="6" t="str">
        <f>IF(OR(C83="",B83=""),"",B83-C83)</f>
      </c>
      <c r="E83" s="7" t="n">
        <v>3179210.33021942</v>
      </c>
      <c r="F83" s="9" t="n">
        <v>14.4365755828528</v>
      </c>
      <c r="G83" s="8" t="n">
        <v>17015365.5550728</v>
      </c>
      <c r="H83" s="10" t="n">
        <v>77.2656054148909</v>
      </c>
      <c r="I83" s="13" t="str">
        <f>=HYPERLINK("https://ucloud.univie.ac.at/index.php/f/1547933978","Open Cytogram")</f>
      </c>
      <c r="J83" s="2" t="s">
        <v>314</v>
      </c>
      <c r="K83" t="s">
        <v>314</v>
      </c>
      <c r="L83" t="s">
        <v>314</v>
      </c>
      <c r="M83" t="s">
        <v>345</v>
      </c>
    </row>
    <row r="84">
      <c r="A84" s="4" t="s">
        <v>314</v>
      </c>
      <c r="B84" s="5" t="n">
        <v>46218</v>
      </c>
      <c r="C84" s="5" t="n">
        <v>46203</v>
      </c>
      <c r="D84" s="6" t="str">
        <f>IF(OR(C84="",B84=""),"",B84-C84)</f>
      </c>
      <c r="E84" s="7" t="n">
        <v>16708379.9511493</v>
      </c>
      <c r="F84" s="9" t="n">
        <v>71.4737760966029</v>
      </c>
      <c r="G84" s="8" t="n">
        <v>4207066.51052297</v>
      </c>
      <c r="H84" s="10" t="n">
        <v>17.9966538153779</v>
      </c>
      <c r="I84" s="13" t="str">
        <f>=HYPERLINK("https://ucloud.univie.ac.at/index.php/f/1552579218","Open Cytogram")</f>
      </c>
      <c r="J84" s="2" t="s">
        <v>314</v>
      </c>
      <c r="K84" s="3" t="s">
        <v>314</v>
      </c>
      <c r="L84" s="3" t="s">
        <v>314</v>
      </c>
      <c r="M84" s="3" t="s">
        <v>347</v>
      </c>
    </row>
    <row r="85">
      <c r="A85" s="16" t="s">
        <v>314</v>
      </c>
      <c r="B85" s="17" t="n">
        <v>46224</v>
      </c>
      <c r="C85" s="17" t="n">
        <v>46203</v>
      </c>
      <c r="D85" s="18" t="str">
        <f>IF(OR(C85="",B85=""),"",B85-C85)</f>
      </c>
      <c r="E85" s="19" t="n">
        <v>8109914.99657613</v>
      </c>
      <c r="F85" s="21" t="n">
        <v>36.7534848032738</v>
      </c>
      <c r="G85" s="20" t="n">
        <v>9471914.17484593</v>
      </c>
      <c r="H85" s="22" t="n">
        <v>42.9259559230999</v>
      </c>
      <c r="I85" s="23" t="str">
        <f>=HYPERLINK("https://ucloud.univie.ac.at/index.php/f/1556102548","Open Cytogram")</f>
      </c>
      <c r="J85" s="14" t="s">
        <v>314</v>
      </c>
      <c r="K85" s="24" t="s">
        <v>314</v>
      </c>
      <c r="L85" s="24" t="s">
        <v>314</v>
      </c>
      <c r="M85" s="24" t="s">
        <v>390</v>
      </c>
    </row>
    <row r="86">
      <c r="A86" s="4" t="s">
        <v>391</v>
      </c>
      <c r="B86" s="5" t="n">
        <v>46211</v>
      </c>
      <c r="C86" s="5" t="n">
        <v>46203</v>
      </c>
      <c r="D86" s="6" t="str">
        <f>IF(OR(C86="",B86=""),"",B86-C86)</f>
      </c>
      <c r="E86" s="7" t="n">
        <v>3088042.69060337</v>
      </c>
      <c r="F86" s="9" t="n">
        <v>20.8028930450029</v>
      </c>
      <c r="G86" s="8" t="n">
        <v>10054168.1420839</v>
      </c>
      <c r="H86" s="10" t="n">
        <v>67.7308591466978</v>
      </c>
      <c r="I86" s="13" t="str">
        <f>=HYPERLINK("https://ucloud.univie.ac.at/index.php/f/1547933978","Open Cytogram")</f>
      </c>
      <c r="J86" s="2" t="s">
        <v>314</v>
      </c>
      <c r="K86" s="3" t="s">
        <v>314</v>
      </c>
      <c r="L86" s="3" t="s">
        <v>314</v>
      </c>
      <c r="M86" s="3" t="s">
        <v>345</v>
      </c>
    </row>
    <row r="87">
      <c r="A87" s="4" t="s">
        <v>314</v>
      </c>
      <c r="B87" s="5" t="n">
        <v>46218</v>
      </c>
      <c r="C87" s="5" t="n">
        <v>46203</v>
      </c>
      <c r="D87" s="6" t="str">
        <f>IF(OR(C87="",B87=""),"",B87-C87)</f>
      </c>
      <c r="E87" s="7" t="n">
        <v>13835365.0483488</v>
      </c>
      <c r="F87" s="9" t="n">
        <v>67.0871985157699</v>
      </c>
      <c r="G87" s="8" t="n">
        <v>5054771.70676214</v>
      </c>
      <c r="H87" s="10" t="n">
        <v>24.5104102246959</v>
      </c>
      <c r="I87" s="13" t="str">
        <f>=HYPERLINK("https://ucloud.univie.ac.at/index.php/f/1552579218","Open Cytogram")</f>
      </c>
      <c r="J87" s="2" t="s">
        <v>314</v>
      </c>
      <c r="K87" t="s">
        <v>314</v>
      </c>
      <c r="L87" t="s">
        <v>314</v>
      </c>
      <c r="M87" t="s">
        <v>347</v>
      </c>
    </row>
    <row r="88">
      <c r="A88" s="16" t="s">
        <v>314</v>
      </c>
      <c r="B88" s="17" t="n">
        <v>46224</v>
      </c>
      <c r="C88" s="17" t="n">
        <v>46203</v>
      </c>
      <c r="D88" s="18" t="str">
        <f>IF(OR(C88="",B88=""),"",B88-C88)</f>
      </c>
      <c r="E88" s="19" t="n">
        <v>5690673.36224606</v>
      </c>
      <c r="F88" s="21" t="n">
        <v>36.6866775817112</v>
      </c>
      <c r="G88" s="20" t="n">
        <v>7593521.66172107</v>
      </c>
      <c r="H88" s="22" t="n">
        <v>48.9539748953975</v>
      </c>
      <c r="I88" s="23" t="str">
        <f>=HYPERLINK("https://ucloud.univie.ac.at/index.php/f/1556102548","Open Cytogram")</f>
      </c>
      <c r="J88" s="14" t="s">
        <v>314</v>
      </c>
      <c r="K88" s="15" t="s">
        <v>314</v>
      </c>
      <c r="L88" s="15" t="s">
        <v>314</v>
      </c>
      <c r="M88" s="15" t="s">
        <v>390</v>
      </c>
    </row>
    <row r="89">
      <c r="A89" s="4" t="s">
        <v>392</v>
      </c>
      <c r="B89" s="5" t="n">
        <v>46211</v>
      </c>
      <c r="C89" s="5" t="n">
        <v>46203</v>
      </c>
      <c r="D89" s="6" t="str">
        <f>IF(OR(C89="",B89=""),"",B89-C89)</f>
      </c>
      <c r="E89" s="7" t="n">
        <v>8984184.78166413</v>
      </c>
      <c r="F89" s="9" t="n">
        <v>40.132552404439</v>
      </c>
      <c r="G89" s="8" t="n">
        <v>12349027.3191397</v>
      </c>
      <c r="H89" s="10" t="n">
        <v>55.1633785450062</v>
      </c>
      <c r="I89" s="13" t="str">
        <f>=HYPERLINK("https://ucloud.univie.ac.at/index.php/f/1547933978","Open Cytogram")</f>
      </c>
      <c r="J89" s="2" t="s">
        <v>314</v>
      </c>
      <c r="K89" t="s">
        <v>314</v>
      </c>
      <c r="L89" t="s">
        <v>314</v>
      </c>
      <c r="M89" t="s">
        <v>345</v>
      </c>
    </row>
    <row r="90">
      <c r="A90" s="4" t="s">
        <v>314</v>
      </c>
      <c r="B90" s="5" t="n">
        <v>46218</v>
      </c>
      <c r="C90" s="5" t="n">
        <v>46203</v>
      </c>
      <c r="D90" s="6" t="str">
        <f>IF(OR(C90="",B90=""),"",B90-C90)</f>
      </c>
      <c r="E90" s="7" t="n">
        <v>5348765.76210628</v>
      </c>
      <c r="F90" s="9" t="n">
        <v>58.2703373575539</v>
      </c>
      <c r="G90" s="8" t="n">
        <v>1249547.07948131</v>
      </c>
      <c r="H90" s="10" t="n">
        <v>13.6127721990297</v>
      </c>
      <c r="I90" s="13" t="str">
        <f>=HYPERLINK("https://ucloud.univie.ac.at/index.php/f/1552579218","Open Cytogram")</f>
      </c>
      <c r="J90" s="2" t="s">
        <v>314</v>
      </c>
      <c r="K90" s="3" t="s">
        <v>314</v>
      </c>
      <c r="L90" s="3" t="s">
        <v>314</v>
      </c>
      <c r="M90" s="3" t="s">
        <v>347</v>
      </c>
    </row>
    <row r="91">
      <c r="A91" s="16" t="s">
        <v>314</v>
      </c>
      <c r="B91" s="17" t="n">
        <v>46224</v>
      </c>
      <c r="C91" s="17" t="n">
        <v>46203</v>
      </c>
      <c r="D91" s="18" t="str">
        <f>IF(OR(C91="",B91=""),"",B91-C91)</f>
      </c>
      <c r="E91" s="19" t="n">
        <v>9124036.72922252</v>
      </c>
      <c r="F91" s="21" t="n">
        <v>46.3259009956528</v>
      </c>
      <c r="G91" s="20" t="n">
        <v>6821967.82841823</v>
      </c>
      <c r="H91" s="22" t="n">
        <v>34.6374982470902</v>
      </c>
      <c r="I91" s="23" t="str">
        <f>=HYPERLINK("https://ucloud.univie.ac.at/index.php/f/1556102548","Open Cytogram")</f>
      </c>
      <c r="J91" s="14" t="s">
        <v>314</v>
      </c>
      <c r="K91" s="24" t="s">
        <v>314</v>
      </c>
      <c r="L91" s="24" t="s">
        <v>314</v>
      </c>
      <c r="M91" s="24" t="s">
        <v>390</v>
      </c>
    </row>
    <row r="92">
      <c r="A92" s="4" t="s">
        <v>393</v>
      </c>
      <c r="B92" s="5" t="n">
        <v>46211</v>
      </c>
      <c r="C92" s="5" t="n">
        <v>46203</v>
      </c>
      <c r="D92" s="6" t="str">
        <f>IF(OR(C92="",B92=""),"",B92-C92)</f>
      </c>
      <c r="E92" s="7" t="n">
        <v>7469453.57375624</v>
      </c>
      <c r="F92" s="9" t="n">
        <v>37.2675939953174</v>
      </c>
      <c r="G92" s="8" t="n">
        <v>11490564.6208994</v>
      </c>
      <c r="H92" s="10" t="n">
        <v>57.3302575402837</v>
      </c>
      <c r="I92" s="13" t="str">
        <f>=HYPERLINK("https://ucloud.univie.ac.at/index.php/f/1547933978","Open Cytogram")</f>
      </c>
      <c r="J92" s="2" t="s">
        <v>314</v>
      </c>
      <c r="K92" s="3" t="s">
        <v>314</v>
      </c>
      <c r="L92" s="3" t="s">
        <v>314</v>
      </c>
      <c r="M92" s="3" t="s">
        <v>345</v>
      </c>
    </row>
    <row r="93">
      <c r="A93" s="4" t="s">
        <v>314</v>
      </c>
      <c r="B93" s="5" t="n">
        <v>46218</v>
      </c>
      <c r="C93" s="5" t="n">
        <v>46203</v>
      </c>
      <c r="D93" s="6" t="str">
        <f>IF(OR(C93="",B93=""),"",B93-C93)</f>
      </c>
      <c r="E93" s="7" t="n">
        <v>17523724.7021673</v>
      </c>
      <c r="F93" s="9" t="n">
        <v>67.5793079481706</v>
      </c>
      <c r="G93" s="8" t="n">
        <v>6686371.06358546</v>
      </c>
      <c r="H93" s="10" t="n">
        <v>25.785632726009</v>
      </c>
      <c r="I93" s="13" t="str">
        <f>=HYPERLINK("https://ucloud.univie.ac.at/index.php/f/1552579218","Open Cytogram")</f>
      </c>
      <c r="J93" s="2" t="s">
        <v>314</v>
      </c>
      <c r="K93" t="s">
        <v>314</v>
      </c>
      <c r="L93" t="s">
        <v>314</v>
      </c>
      <c r="M93" t="s">
        <v>347</v>
      </c>
    </row>
    <row r="94">
      <c r="A94" s="16" t="s">
        <v>314</v>
      </c>
      <c r="B94" s="17" t="n">
        <v>46224</v>
      </c>
      <c r="C94" s="17" t="n">
        <v>46203</v>
      </c>
      <c r="D94" s="18" t="str">
        <f>IF(OR(C94="",B94=""),"",B94-C94)</f>
      </c>
      <c r="E94" s="19" t="n">
        <v>6726281.85345812</v>
      </c>
      <c r="F94" s="21" t="n">
        <v>41.985674025364</v>
      </c>
      <c r="G94" s="20" t="n">
        <v>5479977.35676786</v>
      </c>
      <c r="H94" s="22" t="n">
        <v>34.2062000939408</v>
      </c>
      <c r="I94" s="23" t="str">
        <f>=HYPERLINK("https://ucloud.univie.ac.at/index.php/f/1556102548","Open Cytogram")</f>
      </c>
      <c r="J94" s="14" t="s">
        <v>314</v>
      </c>
      <c r="K94" s="15" t="s">
        <v>314</v>
      </c>
      <c r="L94" s="15" t="s">
        <v>314</v>
      </c>
      <c r="M94" s="15" t="s">
        <v>390</v>
      </c>
    </row>
    <row r="95">
      <c r="A95" s="16" t="s">
        <v>394</v>
      </c>
      <c r="B95" s="17" t="n">
        <v>46224</v>
      </c>
      <c r="C95" s="17"/>
      <c r="D95" s="18" t="str">
        <f>IF(OR(C95="",B95=""),"",B95-C95)</f>
      </c>
      <c r="E95" s="19" t="n">
        <v>15017734.0333257</v>
      </c>
      <c r="F95" s="21" t="n">
        <v>54.2212864226041</v>
      </c>
      <c r="G95" s="20" t="n">
        <v>10195241.0865099</v>
      </c>
      <c r="H95" s="22" t="n">
        <v>36.8097534469877</v>
      </c>
      <c r="I95" s="23" t="str">
        <f>=HYPERLINK("https://ucloud.univie.ac.at/index.php/f/1556102548","Open Cytogram")</f>
      </c>
      <c r="J95" s="14" t="s">
        <v>314</v>
      </c>
      <c r="K95" s="24" t="s">
        <v>314</v>
      </c>
      <c r="L95" s="24" t="s">
        <v>314</v>
      </c>
      <c r="M95" s="24" t="s">
        <v>390</v>
      </c>
    </row>
    <row r="96">
      <c r="A96" s="4" t="s">
        <v>395</v>
      </c>
      <c r="B96" s="5" t="n">
        <v>46224</v>
      </c>
      <c r="C96" s="5"/>
      <c r="D96" s="6" t="str">
        <f>IF(OR(C96="",B96=""),"",B96-C96)</f>
      </c>
      <c r="E96" s="7" t="n">
        <v>3970302.85322986</v>
      </c>
      <c r="F96" s="9" t="n">
        <v>37.6740449839343</v>
      </c>
      <c r="G96" s="8" t="n">
        <v>2830286.96644602</v>
      </c>
      <c r="H96" s="10" t="n">
        <v>26.8564798286326</v>
      </c>
      <c r="I96" s="13" t="str">
        <f>=HYPERLINK("https://ucloud.univie.ac.at/index.php/f/1556102548","Open Cytogram")</f>
      </c>
      <c r="J96" s="2" t="s">
        <v>314</v>
      </c>
      <c r="K96" s="3" t="s">
        <v>314</v>
      </c>
      <c r="L96" s="3" t="s">
        <v>314</v>
      </c>
      <c r="M96" s="3" t="s">
        <v>390</v>
      </c>
    </row>
    <row r="97">
      <c r="A97" s="16" t="s">
        <v>314</v>
      </c>
      <c r="B97" s="17" t="n">
        <v>46231</v>
      </c>
      <c r="C97" s="17"/>
      <c r="D97" s="18" t="str">
        <f>IF(OR(C97="",B97=""),"",B97-C97)</f>
      </c>
      <c r="E97" s="19" t="n">
        <v>8058866.34586356</v>
      </c>
      <c r="F97" s="21" t="n">
        <v>43.8799076212471</v>
      </c>
      <c r="G97" s="20" t="n">
        <v>5843354.9372303</v>
      </c>
      <c r="H97" s="22" t="n">
        <v>31.8166183479927</v>
      </c>
      <c r="I97" s="23" t="str">
        <f>=HYPERLINK("https://ucloud.univie.ac.at/index.php/f/1563062920","Open Cytogram")</f>
      </c>
      <c r="J97" s="14" t="s">
        <v>314</v>
      </c>
      <c r="K97" s="24" t="s">
        <v>314</v>
      </c>
      <c r="L97" s="24" t="s">
        <v>314</v>
      </c>
      <c r="M97" s="24" t="s">
        <v>396</v>
      </c>
    </row>
    <row r="98">
      <c r="A98" s="4" t="s">
        <v>397</v>
      </c>
      <c r="B98" s="5" t="n">
        <v>46224</v>
      </c>
      <c r="C98" s="5"/>
      <c r="D98" s="6" t="str">
        <f>IF(OR(C98="",B98=""),"",B98-C98)</f>
      </c>
      <c r="E98" s="7" t="n">
        <v>5814833.50833143</v>
      </c>
      <c r="F98" s="9" t="n">
        <v>31.9664925797611</v>
      </c>
      <c r="G98" s="8" t="n">
        <v>8022438.53001598</v>
      </c>
      <c r="H98" s="10" t="n">
        <v>44.1025906199907</v>
      </c>
      <c r="I98" s="13" t="str">
        <f>=HYPERLINK("https://ucloud.univie.ac.at/index.php/f/1556102548","Open Cytogram")</f>
      </c>
      <c r="J98" s="2" t="s">
        <v>314</v>
      </c>
      <c r="K98" s="3" t="s">
        <v>314</v>
      </c>
      <c r="L98" s="3" t="s">
        <v>314</v>
      </c>
      <c r="M98" s="3" t="s">
        <v>390</v>
      </c>
    </row>
    <row r="99">
      <c r="A99" s="16" t="s">
        <v>314</v>
      </c>
      <c r="B99" s="17" t="n">
        <v>46231</v>
      </c>
      <c r="C99" s="17"/>
      <c r="D99" s="18" t="str">
        <f>IF(OR(C99="",B99=""),"",B99-C99)</f>
      </c>
      <c r="E99" s="19" t="n">
        <v>3337255.06685369</v>
      </c>
      <c r="F99" s="21" t="n">
        <v>37.4670719351571</v>
      </c>
      <c r="G99" s="20" t="n">
        <v>2520539.04859988</v>
      </c>
      <c r="H99" s="22" t="n">
        <v>28.2978723404255</v>
      </c>
      <c r="I99" s="23" t="str">
        <f>=HYPERLINK("https://ucloud.univie.ac.at/index.php/f/1563062920","Open Cytogram")</f>
      </c>
      <c r="J99" s="14" t="s">
        <v>314</v>
      </c>
      <c r="K99" s="24" t="s">
        <v>314</v>
      </c>
      <c r="L99" s="24" t="s">
        <v>314</v>
      </c>
      <c r="M99" s="24" t="s">
        <v>396</v>
      </c>
    </row>
    <row r="100">
      <c r="A100" s="4" t="s">
        <v>398</v>
      </c>
      <c r="B100" s="5" t="n">
        <v>46224</v>
      </c>
      <c r="C100" s="5"/>
      <c r="D100" s="6" t="str">
        <f>IF(OR(C100="",B100=""),"",B100-C100)</f>
      </c>
      <c r="E100" s="7" t="n">
        <v>1981859.30152933</v>
      </c>
      <c r="F100" s="9" t="n">
        <v>30.7501459427904</v>
      </c>
      <c r="G100" s="8" t="n">
        <v>3060735.7224378</v>
      </c>
      <c r="H100" s="10" t="n">
        <v>47.4897840046702</v>
      </c>
      <c r="I100" s="13" t="str">
        <f>=HYPERLINK("https://ucloud.univie.ac.at/index.php/f/1556102548","Open Cytogram")</f>
      </c>
      <c r="J100" s="2" t="s">
        <v>314</v>
      </c>
      <c r="K100" s="3" t="s">
        <v>314</v>
      </c>
      <c r="L100" s="3" t="s">
        <v>314</v>
      </c>
      <c r="M100" s="3" t="s">
        <v>390</v>
      </c>
    </row>
    <row r="101">
      <c r="A101" s="16" t="s">
        <v>314</v>
      </c>
      <c r="B101" s="17" t="n">
        <v>46231</v>
      </c>
      <c r="C101" s="17"/>
      <c r="D101" s="18" t="str">
        <f>IF(OR(C101="",B101=""),"",B101-C101)</f>
      </c>
      <c r="E101" s="19" t="n">
        <v>7234930.73849812</v>
      </c>
      <c r="F101" s="21" t="n">
        <v>39.8498856745203</v>
      </c>
      <c r="G101" s="20" t="n">
        <v>7089636.50762645</v>
      </c>
      <c r="H101" s="22" t="n">
        <v>39.0496073168307</v>
      </c>
      <c r="I101" s="23" t="str">
        <f>=HYPERLINK("https://ucloud.univie.ac.at/index.php/f/1563062920","Open Cytogram")</f>
      </c>
      <c r="J101" s="14" t="s">
        <v>314</v>
      </c>
      <c r="K101" s="24" t="s">
        <v>314</v>
      </c>
      <c r="L101" s="24" t="s">
        <v>314</v>
      </c>
      <c r="M101" s="24" t="s">
        <v>396</v>
      </c>
    </row>
    <row r="102">
      <c r="A102" s="4" t="s">
        <v>399</v>
      </c>
      <c r="B102" s="5" t="n">
        <v>46238</v>
      </c>
      <c r="C102" s="5"/>
      <c r="D102" s="6" t="str">
        <f>IF(OR(C102="",B102=""),"",B102-C102)</f>
      </c>
      <c r="E102" s="7" t="n">
        <v>4131462.38005011</v>
      </c>
      <c r="F102" s="9" t="n">
        <v>31.766883620947</v>
      </c>
      <c r="G102" s="8" t="n">
        <v>5436911.30126519</v>
      </c>
      <c r="H102" s="10" t="n">
        <v>41.8045022989192</v>
      </c>
      <c r="I102" s="13" t="str">
        <f>=HYPERLINK("https://ucloud.univie.ac.at/index.php/f/1567854609","Open Cytogram")</f>
      </c>
      <c r="J102" s="2" t="s">
        <v>314</v>
      </c>
      <c r="K102" s="3" t="s">
        <v>314</v>
      </c>
      <c r="L102" s="3" t="s">
        <v>314</v>
      </c>
      <c r="M102" s="3" t="s">
        <v>362</v>
      </c>
    </row>
    <row r="103">
      <c r="A103" s="16" t="s">
        <v>314</v>
      </c>
      <c r="B103" s="17" t="n">
        <v>46247</v>
      </c>
      <c r="C103" s="17"/>
      <c r="D103" s="18" t="str">
        <f>IF(OR(C103="",B103=""),"",B103-C103)</f>
      </c>
      <c r="E103" s="19" t="n">
        <v>6545426.07844559</v>
      </c>
      <c r="F103" s="21" t="n">
        <v>20.0478236028525</v>
      </c>
      <c r="G103" s="20" t="n">
        <v>23643399.9637497</v>
      </c>
      <c r="H103" s="22" t="n">
        <v>72.4167848149481</v>
      </c>
      <c r="I103" s="23" t="str">
        <f>=HYPERLINK("https://ucloud.univie.ac.at/index.php/f/1576432618","Open Cytogram")</f>
      </c>
      <c r="J103" s="14" t="s">
        <v>314</v>
      </c>
      <c r="K103" s="24" t="s">
        <v>314</v>
      </c>
      <c r="L103" s="24" t="s">
        <v>314</v>
      </c>
      <c r="M103" s="24" t="s">
        <v>363</v>
      </c>
    </row>
    <row r="104">
      <c r="A104" s="4" t="s">
        <v>400</v>
      </c>
      <c r="B104" s="5" t="n">
        <v>46238</v>
      </c>
      <c r="C104" s="5"/>
      <c r="D104" s="6" t="str">
        <f>IF(OR(C104="",B104=""),"",B104-C104)</f>
      </c>
      <c r="E104" s="7" t="n">
        <v>2756120.29827027</v>
      </c>
      <c r="F104" s="9" t="n">
        <v>35.169953423843</v>
      </c>
      <c r="G104" s="8" t="n">
        <v>2221049.32461341</v>
      </c>
      <c r="H104" s="10" t="n">
        <v>28.3420870082251</v>
      </c>
      <c r="I104" s="13" t="str">
        <f>=HYPERLINK("https://ucloud.univie.ac.at/index.php/f/1567854609","Open Cytogram")</f>
      </c>
      <c r="J104" s="2" t="s">
        <v>314</v>
      </c>
      <c r="K104" s="3" t="s">
        <v>314</v>
      </c>
      <c r="L104" s="3" t="s">
        <v>314</v>
      </c>
      <c r="M104" s="3" t="s">
        <v>362</v>
      </c>
    </row>
    <row r="105">
      <c r="A105" s="16" t="s">
        <v>314</v>
      </c>
      <c r="B105" s="17" t="n">
        <v>46247</v>
      </c>
      <c r="C105" s="17"/>
      <c r="D105" s="18" t="str">
        <f>IF(OR(C105="",B105=""),"",B105-C105)</f>
      </c>
      <c r="E105" s="19" t="n">
        <v>2967342.72819546</v>
      </c>
      <c r="F105" s="21" t="n">
        <v>20.6788637457872</v>
      </c>
      <c r="G105" s="20" t="n">
        <v>9677889.85717393</v>
      </c>
      <c r="H105" s="22" t="n">
        <v>67.4434280211844</v>
      </c>
      <c r="I105" s="23" t="str">
        <f>=HYPERLINK("https://ucloud.univie.ac.at/index.php/f/1576432618","Open Cytogram")</f>
      </c>
      <c r="J105" s="14" t="s">
        <v>314</v>
      </c>
      <c r="K105" s="24" t="s">
        <v>314</v>
      </c>
      <c r="L105" s="24" t="s">
        <v>314</v>
      </c>
      <c r="M105" s="24" t="s">
        <v>363</v>
      </c>
    </row>
    <row r="106">
      <c r="A106" s="4" t="s">
        <v>401</v>
      </c>
      <c r="B106" s="5" t="n">
        <v>46238</v>
      </c>
      <c r="C106" s="5"/>
      <c r="D106" s="6" t="str">
        <f>IF(OR(C106="",B106=""),"",B106-C106)</f>
      </c>
      <c r="E106" s="7" t="n">
        <v>3389041.69671781</v>
      </c>
      <c r="F106" s="9" t="n">
        <v>29.4984453156685</v>
      </c>
      <c r="G106" s="8" t="n">
        <v>4997102.11682253</v>
      </c>
      <c r="H106" s="10" t="n">
        <v>43.4951106304358</v>
      </c>
      <c r="I106" s="13" t="str">
        <f>=HYPERLINK("https://ucloud.univie.ac.at/index.php/f/1567854609","Open Cytogram")</f>
      </c>
      <c r="J106" s="2" t="s">
        <v>314</v>
      </c>
      <c r="K106" s="3" t="s">
        <v>314</v>
      </c>
      <c r="L106" s="3" t="s">
        <v>314</v>
      </c>
      <c r="M106" s="3" t="s">
        <v>362</v>
      </c>
    </row>
    <row r="107">
      <c r="A107" s="16" t="s">
        <v>314</v>
      </c>
      <c r="B107" s="17" t="n">
        <v>46247</v>
      </c>
      <c r="C107" s="17"/>
      <c r="D107" s="18" t="str">
        <f>IF(OR(C107="",B107=""),"",B107-C107)</f>
      </c>
      <c r="E107" s="19" t="n">
        <v>12096671.4384108</v>
      </c>
      <c r="F107" s="21" t="n">
        <v>46.7604956735391</v>
      </c>
      <c r="G107" s="20" t="n">
        <v>10496586.2792721</v>
      </c>
      <c r="H107" s="22" t="n">
        <v>40.5752590535199</v>
      </c>
      <c r="I107" s="23" t="str">
        <f>=HYPERLINK("https://ucloud.univie.ac.at/index.php/f/1576432618","Open Cytogram")</f>
      </c>
      <c r="J107" s="14" t="s">
        <v>314</v>
      </c>
      <c r="K107" s="24" t="s">
        <v>314</v>
      </c>
      <c r="L107" s="24" t="s">
        <v>314</v>
      </c>
      <c r="M107" s="24" t="s">
        <v>363</v>
      </c>
    </row>
    <row r="108">
      <c r="A108" s="4" t="s">
        <v>402</v>
      </c>
      <c r="B108" s="5" t="n">
        <v>46238</v>
      </c>
      <c r="C108" s="5"/>
      <c r="D108" s="6" t="str">
        <f>IF(OR(C108="",B108=""),"",B108-C108)</f>
      </c>
      <c r="E108" s="7" t="n">
        <v>1434621.83648106</v>
      </c>
      <c r="F108" s="9" t="n">
        <v>25.8754318797273</v>
      </c>
      <c r="G108" s="8" t="n">
        <v>2392934.72689119</v>
      </c>
      <c r="H108" s="10" t="n">
        <v>43.1599589130638</v>
      </c>
      <c r="I108" s="13" t="str">
        <f>=HYPERLINK("https://ucloud.univie.ac.at/index.php/f/1567854609","Open Cytogram")</f>
      </c>
      <c r="J108" s="2" t="s">
        <v>314</v>
      </c>
      <c r="K108" s="3" t="s">
        <v>314</v>
      </c>
      <c r="L108" s="3" t="s">
        <v>314</v>
      </c>
      <c r="M108" s="3" t="s">
        <v>362</v>
      </c>
    </row>
    <row r="109">
      <c r="A109" s="16" t="s">
        <v>314</v>
      </c>
      <c r="B109" s="17" t="n">
        <v>46247</v>
      </c>
      <c r="C109" s="17"/>
      <c r="D109" s="18" t="str">
        <f>IF(OR(C109="",B109=""),"",B109-C109)</f>
      </c>
      <c r="E109" s="19" t="n">
        <v>11061728.6195896</v>
      </c>
      <c r="F109" s="21" t="n">
        <v>58.3640141435497</v>
      </c>
      <c r="G109" s="20" t="n">
        <v>5732947.60385703</v>
      </c>
      <c r="H109" s="22" t="n">
        <v>30.2482411693945</v>
      </c>
      <c r="I109" s="23" t="str">
        <f>=HYPERLINK("https://ucloud.univie.ac.at/index.php/f/1576432618","Open Cytogram")</f>
      </c>
      <c r="J109" s="14" t="s">
        <v>314</v>
      </c>
      <c r="K109" s="24" t="s">
        <v>314</v>
      </c>
      <c r="L109" s="24" t="s">
        <v>314</v>
      </c>
      <c r="M109" s="24" t="s">
        <v>363</v>
      </c>
    </row>
    <row r="110">
      <c r="A110" s="16" t="s">
        <v>403</v>
      </c>
      <c r="B110" s="17" t="n">
        <v>46247</v>
      </c>
      <c r="C110" s="17"/>
      <c r="D110" s="18" t="str">
        <f>IF(OR(C110="",B110=""),"",B110-C110)</f>
      </c>
      <c r="E110" s="19" t="n">
        <v>5846252.42514319</v>
      </c>
      <c r="F110" s="21" t="n">
        <v>30.2462737248454</v>
      </c>
      <c r="G110" s="20" t="n">
        <v>10804720.1225259</v>
      </c>
      <c r="H110" s="22" t="n">
        <v>55.8994888658541</v>
      </c>
      <c r="I110" s="23" t="str">
        <f>=HYPERLINK("https://ucloud.univie.ac.at/index.php/f/1576432618","Open Cytogram")</f>
      </c>
      <c r="J110" s="14" t="s">
        <v>314</v>
      </c>
      <c r="K110" s="15" t="s">
        <v>314</v>
      </c>
      <c r="L110" s="15" t="s">
        <v>314</v>
      </c>
      <c r="M110" s="15" t="s">
        <v>363</v>
      </c>
    </row>
    <row r="111">
      <c r="A111" s="16" t="s">
        <v>404</v>
      </c>
      <c r="B111" s="17" t="n">
        <v>46247</v>
      </c>
      <c r="C111" s="17"/>
      <c r="D111" s="18" t="str">
        <f>IF(OR(C111="",B111=""),"",B111-C111)</f>
      </c>
      <c r="E111" s="19" t="n">
        <v>5592698.34336258</v>
      </c>
      <c r="F111" s="21" t="n">
        <v>24.9184263990642</v>
      </c>
      <c r="G111" s="20" t="n">
        <v>14502326.2415718</v>
      </c>
      <c r="H111" s="22" t="n">
        <v>64.6155266884196</v>
      </c>
      <c r="I111" s="23" t="str">
        <f>=HYPERLINK("https://ucloud.univie.ac.at/index.php/f/1576432618","Open Cytogram")</f>
      </c>
      <c r="J111" s="14" t="s">
        <v>314</v>
      </c>
      <c r="K111" s="24" t="s">
        <v>314</v>
      </c>
      <c r="L111" s="24" t="s">
        <v>314</v>
      </c>
      <c r="M111" s="24" t="s">
        <v>363</v>
      </c>
    </row>
    <row r="112">
      <c r="A112" s="4" t="s">
        <v>405</v>
      </c>
      <c r="B112" s="5" t="n">
        <v>46153</v>
      </c>
      <c r="C112" s="5" t="n">
        <v>46115</v>
      </c>
      <c r="D112" s="6" t="str">
        <f>IF(OR(C112="",B112=""),"",B112-C112)</f>
      </c>
      <c r="E112" s="7" t="n">
        <v>277322.850403089</v>
      </c>
      <c r="F112" s="9" t="n">
        <v>41.3555992141454</v>
      </c>
      <c r="G112" s="8" t="n">
        <v>303671.814811934</v>
      </c>
      <c r="H112" s="10" t="n">
        <v>45.2848722986247</v>
      </c>
      <c r="I112" s="13" t="str">
        <f>=HYPERLINK("https://ucloud.univie.ac.at/index.php/f/1514655988","Open Cytogram")</f>
      </c>
      <c r="J112" s="2" t="s">
        <v>314</v>
      </c>
      <c r="K112" s="3" t="s">
        <v>314</v>
      </c>
      <c r="L112" s="3" t="s">
        <v>314</v>
      </c>
      <c r="M112" s="3" t="s">
        <v>318</v>
      </c>
    </row>
    <row r="113">
      <c r="A113" s="16" t="s">
        <v>314</v>
      </c>
      <c r="B113" s="17" t="n">
        <v>46162</v>
      </c>
      <c r="C113" s="17" t="n">
        <v>46115</v>
      </c>
      <c r="D113" s="18" t="str">
        <f>IF(OR(C113="",B113=""),"",B113-C113)</f>
      </c>
      <c r="E113" s="19" t="n">
        <v>7456270.20744775</v>
      </c>
      <c r="F113" s="21" t="n">
        <v>54.4219695851174</v>
      </c>
      <c r="G113" s="20" t="n">
        <v>5445545.14336661</v>
      </c>
      <c r="H113" s="22" t="n">
        <v>39.746050494611</v>
      </c>
      <c r="I113" s="23" t="str">
        <f>=HYPERLINK("https://ucloud.univie.ac.at/index.php/f/1515117518","Open Cytogram")</f>
      </c>
      <c r="J113" s="14" t="s">
        <v>314</v>
      </c>
      <c r="K113" s="24" t="s">
        <v>314</v>
      </c>
      <c r="L113" s="24" t="s">
        <v>314</v>
      </c>
      <c r="M113" s="24" t="s">
        <v>408</v>
      </c>
    </row>
    <row r="114">
      <c r="A114" s="4" t="s">
        <v>409</v>
      </c>
      <c r="B114" s="5" t="n">
        <v>46153</v>
      </c>
      <c r="C114" s="5" t="n">
        <v>46115</v>
      </c>
      <c r="D114" s="6" t="str">
        <f>IF(OR(C114="",B114=""),"",B114-C114)</f>
      </c>
      <c r="E114" s="7" t="n">
        <v>3220462.10772618</v>
      </c>
      <c r="F114" s="9" t="n">
        <v>14.6973143381619</v>
      </c>
      <c r="G114" s="8" t="n">
        <v>3512515.96164433</v>
      </c>
      <c r="H114" s="10" t="n">
        <v>16.0301688016282</v>
      </c>
      <c r="I114" s="13" t="str">
        <f>=HYPERLINK("https://ucloud.univie.ac.at/index.php/f/1514655988","Open Cytogram")</f>
      </c>
      <c r="J114" s="2" t="s">
        <v>314</v>
      </c>
      <c r="K114" s="3" t="s">
        <v>314</v>
      </c>
      <c r="L114" s="3" t="s">
        <v>314</v>
      </c>
      <c r="M114" s="3" t="s">
        <v>318</v>
      </c>
    </row>
    <row r="115">
      <c r="A115" s="16" t="s">
        <v>314</v>
      </c>
      <c r="B115" s="17" t="n">
        <v>46162</v>
      </c>
      <c r="C115" s="17" t="n">
        <v>46115</v>
      </c>
      <c r="D115" s="18" t="str">
        <f>IF(OR(C115="",B115=""),"",B115-C115)</f>
      </c>
      <c r="E115" s="19" t="n">
        <v>5222625.72479343</v>
      </c>
      <c r="F115" s="21" t="n">
        <v>47.0273224043716</v>
      </c>
      <c r="G115" s="20" t="n">
        <v>5123505.47515563</v>
      </c>
      <c r="H115" s="22" t="n">
        <v>46.1347905282331</v>
      </c>
      <c r="I115" s="23" t="str">
        <f>=HYPERLINK("https://ucloud.univie.ac.at/index.php/f/1515117518","Open Cytogram")</f>
      </c>
      <c r="J115" s="14" t="s">
        <v>314</v>
      </c>
      <c r="K115" s="24" t="s">
        <v>314</v>
      </c>
      <c r="L115" s="24" t="s">
        <v>314</v>
      </c>
      <c r="M115" s="24" t="s">
        <v>408</v>
      </c>
    </row>
    <row r="116">
      <c r="A116" s="4" t="s">
        <v>410</v>
      </c>
      <c r="B116" s="5" t="n">
        <v>46153</v>
      </c>
      <c r="C116" s="5" t="n">
        <v>46115</v>
      </c>
      <c r="D116" s="6" t="str">
        <f>IF(OR(C116="",B116=""),"",B116-C116)</f>
      </c>
      <c r="E116" s="7" t="n">
        <v>5660073.64195264</v>
      </c>
      <c r="F116" s="9" t="n">
        <v>33.4452826289139</v>
      </c>
      <c r="G116" s="8" t="n">
        <v>9526726.76179113</v>
      </c>
      <c r="H116" s="10" t="n">
        <v>56.293272708484</v>
      </c>
      <c r="I116" s="13" t="str">
        <f>=HYPERLINK("https://ucloud.univie.ac.at/index.php/f/1514655988","Open Cytogram")</f>
      </c>
      <c r="J116" s="2" t="s">
        <v>314</v>
      </c>
      <c r="K116" s="3" t="s">
        <v>314</v>
      </c>
      <c r="L116" s="3" t="s">
        <v>314</v>
      </c>
      <c r="M116" s="3" t="s">
        <v>318</v>
      </c>
    </row>
    <row r="117">
      <c r="A117" s="16" t="s">
        <v>314</v>
      </c>
      <c r="B117" s="17" t="n">
        <v>46162</v>
      </c>
      <c r="C117" s="17" t="n">
        <v>46115</v>
      </c>
      <c r="D117" s="18" t="str">
        <f>IF(OR(C117="",B117=""),"",B117-C117)</f>
      </c>
      <c r="E117" s="19" t="n">
        <v>6802481.13228575</v>
      </c>
      <c r="F117" s="21" t="n">
        <v>45.733714130287</v>
      </c>
      <c r="G117" s="20" t="n">
        <v>7262075.43264715</v>
      </c>
      <c r="H117" s="22" t="n">
        <v>48.8236094111247</v>
      </c>
      <c r="I117" s="23" t="str">
        <f>=HYPERLINK("https://ucloud.univie.ac.at/index.php/f/1515117518","Open Cytogram")</f>
      </c>
      <c r="J117" s="14" t="s">
        <v>314</v>
      </c>
      <c r="K117" s="24" t="s">
        <v>314</v>
      </c>
      <c r="L117" s="24" t="s">
        <v>314</v>
      </c>
      <c r="M117" s="24" t="s">
        <v>408</v>
      </c>
    </row>
    <row r="118">
      <c r="A118" s="4" t="s">
        <v>411</v>
      </c>
      <c r="B118" s="5" t="n">
        <v>46153</v>
      </c>
      <c r="C118" s="5" t="n">
        <v>46115</v>
      </c>
      <c r="D118" s="6" t="str">
        <f>IF(OR(C118="",B118=""),"",B118-C118)</f>
      </c>
      <c r="E118" s="7" t="n">
        <v>11734618.9209029</v>
      </c>
      <c r="F118" s="9" t="n">
        <v>42.4039433771486</v>
      </c>
      <c r="G118" s="8" t="n">
        <v>14614060.0614791</v>
      </c>
      <c r="H118" s="10" t="n">
        <v>52.8090242669363</v>
      </c>
      <c r="I118" s="13" t="str">
        <f>=HYPERLINK("https://ucloud.univie.ac.at/index.php/f/1514655988","Open Cytogram")</f>
      </c>
      <c r="J118" s="2" t="s">
        <v>314</v>
      </c>
      <c r="K118" s="3" t="s">
        <v>314</v>
      </c>
      <c r="L118" s="3" t="s">
        <v>314</v>
      </c>
      <c r="M118" s="3" t="s">
        <v>318</v>
      </c>
    </row>
    <row r="119">
      <c r="A119" s="16" t="s">
        <v>314</v>
      </c>
      <c r="B119" s="17" t="n">
        <v>46162</v>
      </c>
      <c r="C119" s="17" t="n">
        <v>46115</v>
      </c>
      <c r="D119" s="18" t="str">
        <f>IF(OR(C119="",B119=""),"",B119-C119)</f>
      </c>
      <c r="E119" s="19" t="n">
        <v>5643381.07019472</v>
      </c>
      <c r="F119" s="21" t="n">
        <v>45.7254310627418</v>
      </c>
      <c r="G119" s="20" t="n">
        <v>5957329.28945567</v>
      </c>
      <c r="H119" s="22" t="n">
        <v>48.26919294565</v>
      </c>
      <c r="I119" s="23" t="str">
        <f>=HYPERLINK("https://ucloud.univie.ac.at/index.php/f/1515117518","Open Cytogram")</f>
      </c>
      <c r="J119" s="14" t="s">
        <v>314</v>
      </c>
      <c r="K119" s="24" t="s">
        <v>314</v>
      </c>
      <c r="L119" s="24" t="s">
        <v>314</v>
      </c>
      <c r="M119" s="24" t="s">
        <v>408</v>
      </c>
    </row>
    <row r="120">
      <c r="A120" s="4" t="s">
        <v>412</v>
      </c>
      <c r="B120" s="5" t="n">
        <v>46153</v>
      </c>
      <c r="C120" s="5" t="n">
        <v>46115</v>
      </c>
      <c r="D120" s="6" t="str">
        <f>IF(OR(C120="",B120=""),"",B120-C120)</f>
      </c>
      <c r="E120" s="7" t="n">
        <v>3275291.77702752</v>
      </c>
      <c r="F120" s="9" t="n">
        <v>35.0093691442848</v>
      </c>
      <c r="G120" s="8" t="n">
        <v>5311757.76149512</v>
      </c>
      <c r="H120" s="10" t="n">
        <v>56.7770143660212</v>
      </c>
      <c r="I120" s="13" t="str">
        <f>=HYPERLINK("https://ucloud.univie.ac.at/index.php/f/1514655988","Open Cytogram")</f>
      </c>
      <c r="J120" s="2" t="s">
        <v>314</v>
      </c>
      <c r="K120" s="3" t="s">
        <v>314</v>
      </c>
      <c r="L120" s="3" t="s">
        <v>314</v>
      </c>
      <c r="M120" s="3" t="s">
        <v>318</v>
      </c>
    </row>
    <row r="121">
      <c r="A121" s="16" t="s">
        <v>314</v>
      </c>
      <c r="B121" s="17" t="n">
        <v>46162</v>
      </c>
      <c r="C121" s="17" t="n">
        <v>46115</v>
      </c>
      <c r="D121" s="18" t="str">
        <f>IF(OR(C121="",B121=""),"",B121-C121)</f>
      </c>
      <c r="E121" s="19" t="n">
        <v>3052958.98985046</v>
      </c>
      <c r="F121" s="21" t="n">
        <v>37.9913316395158</v>
      </c>
      <c r="G121" s="20" t="n">
        <v>4280688.07221656</v>
      </c>
      <c r="H121" s="22" t="n">
        <v>53.2693169929756</v>
      </c>
      <c r="I121" s="23" t="str">
        <f>=HYPERLINK("https://ucloud.univie.ac.at/index.php/f/1515117518","Open Cytogram")</f>
      </c>
      <c r="J121" s="14" t="s">
        <v>314</v>
      </c>
      <c r="K121" s="24" t="s">
        <v>314</v>
      </c>
      <c r="L121" s="24" t="s">
        <v>314</v>
      </c>
      <c r="M121" s="24" t="s">
        <v>408</v>
      </c>
    </row>
    <row r="122">
      <c r="A122" s="4" t="s">
        <v>413</v>
      </c>
      <c r="B122" s="5" t="n">
        <v>46153</v>
      </c>
      <c r="C122" s="5" t="n">
        <v>46115</v>
      </c>
      <c r="D122" s="6" t="str">
        <f>IF(OR(C122="",B122=""),"",B122-C122)</f>
      </c>
      <c r="E122" s="7" t="n">
        <v>2143187.73735581</v>
      </c>
      <c r="F122" s="9" t="n">
        <v>31.0280504581808</v>
      </c>
      <c r="G122" s="8" t="n">
        <v>3740552.73165166</v>
      </c>
      <c r="H122" s="10" t="n">
        <v>54.1539394222025</v>
      </c>
      <c r="I122" s="13" t="str">
        <f>=HYPERLINK("https://ucloud.univie.ac.at/index.php/f/1514655988","Open Cytogram")</f>
      </c>
      <c r="J122" s="2" t="s">
        <v>314</v>
      </c>
      <c r="K122" s="3" t="s">
        <v>314</v>
      </c>
      <c r="L122" s="3" t="s">
        <v>314</v>
      </c>
      <c r="M122" s="3" t="s">
        <v>318</v>
      </c>
    </row>
    <row r="123">
      <c r="A123" s="16" t="s">
        <v>314</v>
      </c>
      <c r="B123" s="17" t="n">
        <v>46162</v>
      </c>
      <c r="C123" s="17" t="n">
        <v>46115</v>
      </c>
      <c r="D123" s="18" t="str">
        <f>IF(OR(C123="",B123=""),"",B123-C123)</f>
      </c>
      <c r="E123" s="19" t="n">
        <v>4016557.29386892</v>
      </c>
      <c r="F123" s="21" t="n">
        <v>47.413035288208</v>
      </c>
      <c r="G123" s="20" t="n">
        <v>2079556.44820296</v>
      </c>
      <c r="H123" s="22" t="n">
        <v>24.5479090794927</v>
      </c>
      <c r="I123" s="23" t="str">
        <f>=HYPERLINK("https://ucloud.univie.ac.at/index.php/f/1515117518","Open Cytogram")</f>
      </c>
      <c r="J123" s="14" t="s">
        <v>314</v>
      </c>
      <c r="K123" s="24" t="s">
        <v>314</v>
      </c>
      <c r="L123" s="24" t="s">
        <v>314</v>
      </c>
      <c r="M123" s="24" t="s">
        <v>408</v>
      </c>
    </row>
    <row r="124">
      <c r="A124" s="4" t="s">
        <v>414</v>
      </c>
      <c r="B124" s="5" t="n">
        <v>46153</v>
      </c>
      <c r="C124" s="5" t="n">
        <v>46115</v>
      </c>
      <c r="D124" s="6" t="str">
        <f>IF(OR(C124="",B124=""),"",B124-C124)</f>
      </c>
      <c r="E124" s="7" t="n">
        <v>1707069.44525976</v>
      </c>
      <c r="F124" s="9" t="n">
        <v>40.3716511229872</v>
      </c>
      <c r="G124" s="8" t="n">
        <v>1441069.09304373</v>
      </c>
      <c r="H124" s="10" t="n">
        <v>34.0808271333263</v>
      </c>
      <c r="I124" s="13" t="str">
        <f>=HYPERLINK("https://ucloud.univie.ac.at/index.php/f/1514655988","Open Cytogram")</f>
      </c>
      <c r="J124" s="2" t="s">
        <v>314</v>
      </c>
      <c r="K124" s="3" t="s">
        <v>314</v>
      </c>
      <c r="L124" s="3" t="s">
        <v>314</v>
      </c>
      <c r="M124" s="3" t="s">
        <v>318</v>
      </c>
    </row>
    <row r="125">
      <c r="A125" s="16" t="s">
        <v>314</v>
      </c>
      <c r="B125" s="17" t="n">
        <v>46162</v>
      </c>
      <c r="C125" s="17" t="n">
        <v>46115</v>
      </c>
      <c r="D125" s="18" t="str">
        <f>IF(OR(C125="",B125=""),"",B125-C125)</f>
      </c>
      <c r="E125" s="19" t="n">
        <v>4669759.83086681</v>
      </c>
      <c r="F125" s="21" t="n">
        <v>37.776200004303</v>
      </c>
      <c r="G125" s="20" t="n">
        <v>5628552.64270613</v>
      </c>
      <c r="H125" s="22" t="n">
        <v>45.532390972267</v>
      </c>
      <c r="I125" s="23" t="str">
        <f>=HYPERLINK("https://ucloud.univie.ac.at/index.php/f/1515117518","Open Cytogram")</f>
      </c>
      <c r="J125" s="14" t="s">
        <v>314</v>
      </c>
      <c r="K125" s="24" t="s">
        <v>314</v>
      </c>
      <c r="L125" s="24" t="s">
        <v>314</v>
      </c>
      <c r="M125" s="24" t="s">
        <v>408</v>
      </c>
    </row>
    <row r="126">
      <c r="A126" s="4" t="s">
        <v>415</v>
      </c>
      <c r="B126" s="5" t="n">
        <v>46153</v>
      </c>
      <c r="C126" s="5" t="n">
        <v>46146</v>
      </c>
      <c r="D126" s="6" t="str">
        <f>IF(OR(C126="",B126=""),"",B126-C126)</f>
      </c>
      <c r="E126" s="7" t="n">
        <v>4209951.86576016</v>
      </c>
      <c r="F126" s="9" t="n">
        <v>22.3795901139615</v>
      </c>
      <c r="G126" s="8" t="n">
        <v>12332547.5967019</v>
      </c>
      <c r="H126" s="10" t="n">
        <v>65.558317309947</v>
      </c>
      <c r="I126" s="13" t="str">
        <f>=HYPERLINK("https://ucloud.univie.ac.at/index.php/f/1514655988","Open Cytogram")</f>
      </c>
      <c r="J126" s="2" t="s">
        <v>314</v>
      </c>
      <c r="K126" s="3" t="s">
        <v>314</v>
      </c>
      <c r="L126" s="3" t="s">
        <v>314</v>
      </c>
      <c r="M126" s="3" t="s">
        <v>318</v>
      </c>
    </row>
    <row r="127">
      <c r="A127" s="16" t="s">
        <v>314</v>
      </c>
      <c r="B127" s="17" t="n">
        <v>46162</v>
      </c>
      <c r="C127" s="17" t="n">
        <v>46146</v>
      </c>
      <c r="D127" s="18" t="str">
        <f>IF(OR(C127="",B127=""),"",B127-C127)</f>
      </c>
      <c r="E127" s="19" t="n">
        <v>6389766.0228227</v>
      </c>
      <c r="F127" s="21" t="n">
        <v>52.0969548098111</v>
      </c>
      <c r="G127" s="20" t="n">
        <v>5096926.10779035</v>
      </c>
      <c r="H127" s="22" t="n">
        <v>41.5561897193223</v>
      </c>
      <c r="I127" s="23" t="str">
        <f>=HYPERLINK("https://ucloud.univie.ac.at/index.php/f/1515117518","Open Cytogram")</f>
      </c>
      <c r="J127" s="14" t="s">
        <v>314</v>
      </c>
      <c r="K127" s="24" t="s">
        <v>314</v>
      </c>
      <c r="L127" s="24" t="s">
        <v>314</v>
      </c>
      <c r="M127" s="24" t="s">
        <v>408</v>
      </c>
    </row>
    <row r="128">
      <c r="A128" s="4" t="s">
        <v>417</v>
      </c>
      <c r="B128" s="5" t="n">
        <v>46153</v>
      </c>
      <c r="C128" s="5" t="n">
        <v>46146</v>
      </c>
      <c r="D128" s="6" t="str">
        <f>IF(OR(C128="",B128=""),"",B128-C128)</f>
      </c>
      <c r="E128" s="7" t="n">
        <v>2327736.37841747</v>
      </c>
      <c r="F128" s="9" t="n">
        <v>22.7300137835975</v>
      </c>
      <c r="G128" s="8" t="n">
        <v>6671785.62129321</v>
      </c>
      <c r="H128" s="10" t="n">
        <v>65.1490351481737</v>
      </c>
      <c r="I128" s="13" t="str">
        <f>=HYPERLINK("https://ucloud.univie.ac.at/index.php/f/1514655988","Open Cytogram")</f>
      </c>
      <c r="J128" s="2" t="s">
        <v>314</v>
      </c>
      <c r="K128" s="3" t="s">
        <v>314</v>
      </c>
      <c r="L128" s="3" t="s">
        <v>314</v>
      </c>
      <c r="M128" s="3" t="s">
        <v>318</v>
      </c>
    </row>
    <row r="129">
      <c r="A129" s="16" t="s">
        <v>314</v>
      </c>
      <c r="B129" s="17" t="n">
        <v>46162</v>
      </c>
      <c r="C129" s="17" t="n">
        <v>46146</v>
      </c>
      <c r="D129" s="18" t="str">
        <f>IF(OR(C129="",B129=""),"",B129-C129)</f>
      </c>
      <c r="E129" s="19" t="n">
        <v>6165684.09991881</v>
      </c>
      <c r="F129" s="21" t="n">
        <v>49.5980733556807</v>
      </c>
      <c r="G129" s="20" t="n">
        <v>5454850.30965914</v>
      </c>
      <c r="H129" s="22" t="n">
        <v>43.8799752660527</v>
      </c>
      <c r="I129" s="23" t="str">
        <f>=HYPERLINK("https://ucloud.univie.ac.at/index.php/f/1515117518","Open Cytogram")</f>
      </c>
      <c r="J129" s="14" t="s">
        <v>314</v>
      </c>
      <c r="K129" s="24" t="s">
        <v>314</v>
      </c>
      <c r="L129" s="24" t="s">
        <v>314</v>
      </c>
      <c r="M129" s="24" t="s">
        <v>408</v>
      </c>
    </row>
    <row r="130">
      <c r="A130" s="4" t="s">
        <v>418</v>
      </c>
      <c r="B130" s="5" t="n">
        <v>46168</v>
      </c>
      <c r="C130" s="5" t="n">
        <v>46168</v>
      </c>
      <c r="D130" s="6" t="str">
        <f>IF(OR(C130="",B130=""),"",B130-C130)</f>
      </c>
      <c r="E130" s="7" t="n">
        <v>4800973.95076025</v>
      </c>
      <c r="F130" s="9" t="n">
        <v>55.6882244885032</v>
      </c>
      <c r="G130" s="8" t="n">
        <v>2776608.32083723</v>
      </c>
      <c r="H130" s="10" t="n">
        <v>32.2068790777222</v>
      </c>
      <c r="I130" s="13" t="str">
        <f>=HYPERLINK("https://ucloud.univie.ac.at/index.php/f/1515117563","Open Cytogram")</f>
      </c>
      <c r="J130" s="2" t="s">
        <v>314</v>
      </c>
      <c r="K130" s="3" t="s">
        <v>314</v>
      </c>
      <c r="L130" s="3" t="s">
        <v>314</v>
      </c>
      <c r="M130" s="3" t="s">
        <v>419</v>
      </c>
    </row>
    <row r="131">
      <c r="A131" s="4" t="s">
        <v>314</v>
      </c>
      <c r="B131" s="5" t="n">
        <v>46168</v>
      </c>
      <c r="C131" s="5" t="n">
        <v>46168</v>
      </c>
      <c r="D131" s="6" t="str">
        <f>IF(OR(C131="",B131=""),"",B131-C131)</f>
      </c>
      <c r="E131" s="7" t="n">
        <v>661784.903857405</v>
      </c>
      <c r="F131" s="9" t="n">
        <v>43.3850803681824</v>
      </c>
      <c r="G131" s="8" t="n">
        <v>483869.962953372</v>
      </c>
      <c r="H131" s="10" t="n">
        <v>31.7213903008655</v>
      </c>
      <c r="I131" s="13" t="str">
        <f>=HYPERLINK("https://ucloud.univie.ac.at/index.php/f/1515117563","Open Cytogram")</f>
      </c>
      <c r="J131" s="2" t="s">
        <v>314</v>
      </c>
      <c r="K131" t="s">
        <v>314</v>
      </c>
      <c r="L131" t="s">
        <v>314</v>
      </c>
      <c r="M131" t="s">
        <v>419</v>
      </c>
    </row>
    <row r="132">
      <c r="A132" s="4" t="s">
        <v>314</v>
      </c>
      <c r="B132" s="5" t="n">
        <v>46169</v>
      </c>
      <c r="C132" s="5" t="n">
        <v>46168</v>
      </c>
      <c r="D132" s="6" t="str">
        <f>IF(OR(C132="",B132=""),"",B132-C132)</f>
      </c>
      <c r="E132" s="7" t="n">
        <v>2073178.97069639</v>
      </c>
      <c r="F132" s="9" t="n">
        <v>28.8150618430495</v>
      </c>
      <c r="G132" s="8" t="n">
        <v>3643097.23901306</v>
      </c>
      <c r="H132" s="10" t="n">
        <v>50.6353159694373</v>
      </c>
      <c r="I132" s="13" t="str">
        <f>=HYPERLINK("https://ucloud.univie.ac.at/index.php/f/1515117563","Open Cytogram")</f>
      </c>
      <c r="J132" s="2" t="s">
        <v>314</v>
      </c>
      <c r="K132" s="3" t="s">
        <v>314</v>
      </c>
      <c r="L132" s="3" t="s">
        <v>314</v>
      </c>
      <c r="M132" s="3" t="s">
        <v>419</v>
      </c>
    </row>
    <row r="133">
      <c r="A133" s="4" t="s">
        <v>314</v>
      </c>
      <c r="B133" s="5" t="n">
        <v>46171</v>
      </c>
      <c r="C133" s="5" t="n">
        <v>46168</v>
      </c>
      <c r="D133" s="6" t="str">
        <f>IF(OR(C133="",B133=""),"",B133-C133)</f>
      </c>
      <c r="E133" s="7" t="n">
        <v>2436912.41166632</v>
      </c>
      <c r="F133" s="9" t="n">
        <v>25.9489446900809</v>
      </c>
      <c r="G133" s="8" t="n">
        <v>5777139.4064065</v>
      </c>
      <c r="H133" s="10" t="n">
        <v>61.5166430299491</v>
      </c>
      <c r="I133" s="13" t="str">
        <f>=HYPERLINK("https://ucloud.univie.ac.at/index.php/f/1515117563","Open Cytogram")</f>
      </c>
      <c r="J133" s="2" t="s">
        <v>314</v>
      </c>
      <c r="K133" t="s">
        <v>314</v>
      </c>
      <c r="L133" t="s">
        <v>314</v>
      </c>
      <c r="M133" t="s">
        <v>419</v>
      </c>
    </row>
    <row r="134">
      <c r="A134" s="4" t="s">
        <v>314</v>
      </c>
      <c r="B134" s="5" t="n">
        <v>46175</v>
      </c>
      <c r="C134" s="5" t="n">
        <v>46168</v>
      </c>
      <c r="D134" s="6" t="str">
        <f>IF(OR(C134="",B134=""),"",B134-C134)</f>
      </c>
      <c r="E134" s="7" t="n">
        <v>6131954.87733969</v>
      </c>
      <c r="F134" s="9" t="n">
        <v>28.2161645145863</v>
      </c>
      <c r="G134" s="8" t="n">
        <v>14184562.7399885</v>
      </c>
      <c r="H134" s="10" t="n">
        <v>65.2702056432329</v>
      </c>
      <c r="I134" s="13" t="str">
        <f>=HYPERLINK("https://ucloud.univie.ac.at/index.php/f/1515117563","Open Cytogram")</f>
      </c>
      <c r="J134" s="2" t="s">
        <v>314</v>
      </c>
      <c r="K134" s="3" t="s">
        <v>314</v>
      </c>
      <c r="L134" s="3" t="s">
        <v>314</v>
      </c>
      <c r="M134" s="3" t="s">
        <v>419</v>
      </c>
    </row>
    <row r="135">
      <c r="A135" s="4" t="s">
        <v>314</v>
      </c>
      <c r="B135" s="5" t="n">
        <v>46178</v>
      </c>
      <c r="C135" s="5" t="n">
        <v>46168</v>
      </c>
      <c r="D135" s="6" t="str">
        <f>IF(OR(C135="",B135=""),"",B135-C135)</f>
      </c>
      <c r="E135" s="7" t="n">
        <v>3338379.53947991</v>
      </c>
      <c r="F135" s="9" t="n">
        <v>27.8400830737279</v>
      </c>
      <c r="G135" s="8" t="n">
        <v>7299358.76927684</v>
      </c>
      <c r="H135" s="10" t="n">
        <v>60.8722741433022</v>
      </c>
      <c r="I135" s="13" t="str">
        <f>=HYPERLINK("https://ucloud.univie.ac.at/index.php/f/1525440401","Open Cytogram")</f>
      </c>
      <c r="J135" s="2" t="s">
        <v>314</v>
      </c>
      <c r="K135" t="s">
        <v>314</v>
      </c>
      <c r="L135" t="s">
        <v>314</v>
      </c>
      <c r="M135" t="s">
        <v>333</v>
      </c>
    </row>
    <row r="136">
      <c r="A136" s="4" t="s">
        <v>314</v>
      </c>
      <c r="B136" s="5" t="n">
        <v>46182</v>
      </c>
      <c r="C136" s="5" t="n">
        <v>46168</v>
      </c>
      <c r="D136" s="6" t="str">
        <f>IF(OR(C136="",B136=""),"",B136-C136)</f>
      </c>
      <c r="E136" s="7" t="n">
        <v>5934620.24810192</v>
      </c>
      <c r="F136" s="9" t="n">
        <v>24.8481530721305</v>
      </c>
      <c r="G136" s="8" t="n">
        <v>16757270.6648828</v>
      </c>
      <c r="H136" s="10" t="n">
        <v>70.1624045254295</v>
      </c>
      <c r="I136" s="13" t="str">
        <f>=HYPERLINK("https://ucloud.univie.ac.at/index.php/f/1525440401","Open Cytogram")</f>
      </c>
      <c r="J136" s="2" t="s">
        <v>314</v>
      </c>
      <c r="K136" s="3" t="s">
        <v>314</v>
      </c>
      <c r="L136" s="3" t="s">
        <v>314</v>
      </c>
      <c r="M136" s="3" t="s">
        <v>333</v>
      </c>
    </row>
    <row r="137">
      <c r="A137" s="4" t="s">
        <v>314</v>
      </c>
      <c r="B137" s="5" t="n">
        <v>46188</v>
      </c>
      <c r="C137" s="5" t="n">
        <v>46168</v>
      </c>
      <c r="D137" s="6" t="str">
        <f>IF(OR(C137="",B137=""),"",B137-C137)</f>
      </c>
      <c r="E137" s="7" t="n">
        <v>4635490.19779315</v>
      </c>
      <c r="F137" s="9" t="n">
        <v>36.0520556510864</v>
      </c>
      <c r="G137" s="8" t="n">
        <v>6790679.08216549</v>
      </c>
      <c r="H137" s="10" t="n">
        <v>52.8138189776458</v>
      </c>
      <c r="I137" s="13" t="str">
        <f>=HYPERLINK("https://ucloud.univie.ac.at/index.php/f/1525440401","Open Cytogram")</f>
      </c>
      <c r="J137" s="2" t="s">
        <v>314</v>
      </c>
      <c r="K137" t="s">
        <v>314</v>
      </c>
      <c r="L137" t="s">
        <v>314</v>
      </c>
      <c r="M137" t="s">
        <v>333</v>
      </c>
    </row>
    <row r="138">
      <c r="A138" s="4" t="s">
        <v>314</v>
      </c>
      <c r="B138" s="5" t="n">
        <v>46196</v>
      </c>
      <c r="C138" s="5" t="n">
        <v>46168</v>
      </c>
      <c r="D138" s="6" t="str">
        <f>IF(OR(C138="",B138=""),"",B138-C138)</f>
      </c>
      <c r="E138" s="7" t="n">
        <v>5091068.09869624</v>
      </c>
      <c r="F138" s="9" t="n">
        <v>33.7091157146447</v>
      </c>
      <c r="G138" s="8" t="n">
        <v>8571690.75558527</v>
      </c>
      <c r="H138" s="10" t="n">
        <v>56.7551071697842</v>
      </c>
      <c r="I138" s="2" t="s">
        <v>314</v>
      </c>
      <c r="J138" s="2" t="s">
        <v>314</v>
      </c>
      <c r="K138" s="3" t="s">
        <v>314</v>
      </c>
      <c r="L138" s="3" t="s">
        <v>314</v>
      </c>
      <c r="M138" s="3" t="s">
        <v>314</v>
      </c>
    </row>
    <row r="139">
      <c r="A139" s="4" t="s">
        <v>314</v>
      </c>
      <c r="B139" s="5" t="n">
        <v>46204</v>
      </c>
      <c r="C139" s="5" t="n">
        <v>46168</v>
      </c>
      <c r="D139" s="6" t="str">
        <f>IF(OR(C139="",B139=""),"",B139-C139)</f>
      </c>
      <c r="E139" s="7" t="n">
        <v>1475479.0900508</v>
      </c>
      <c r="F139" s="9" t="n">
        <v>38.4375</v>
      </c>
      <c r="G139" s="8" t="n">
        <v>1087330.40956705</v>
      </c>
      <c r="H139" s="10" t="n">
        <v>28.3258928571429</v>
      </c>
      <c r="I139" s="13" t="str">
        <f>=HYPERLINK("https://ucloud.univie.ac.at/index.php/f/1547933978","Open Cytogram")</f>
      </c>
      <c r="J139" s="2" t="s">
        <v>314</v>
      </c>
      <c r="K139" t="s">
        <v>314</v>
      </c>
      <c r="L139" t="s">
        <v>314</v>
      </c>
      <c r="M139" t="s">
        <v>345</v>
      </c>
    </row>
    <row r="140">
      <c r="A140" s="16" t="s">
        <v>314</v>
      </c>
      <c r="B140" s="17" t="n">
        <v>46213</v>
      </c>
      <c r="C140" s="17" t="n">
        <v>46168</v>
      </c>
      <c r="D140" s="18" t="str">
        <f>IF(OR(C140="",B140=""),"",B140-C140)</f>
      </c>
      <c r="E140" s="19" t="n">
        <v>8021971.75254771</v>
      </c>
      <c r="F140" s="21" t="n">
        <v>40.155298514676</v>
      </c>
      <c r="G140" s="20" t="n">
        <v>9385249.94976315</v>
      </c>
      <c r="H140" s="22" t="n">
        <v>46.9794116699423</v>
      </c>
      <c r="I140" s="23" t="str">
        <f>=HYPERLINK("https://ucloud.univie.ac.at/index.php/f/1552579218","Open Cytogram")</f>
      </c>
      <c r="J140" s="14" t="s">
        <v>314</v>
      </c>
      <c r="K140" s="15" t="s">
        <v>314</v>
      </c>
      <c r="L140" s="15" t="s">
        <v>314</v>
      </c>
      <c r="M140" s="15" t="s">
        <v>347</v>
      </c>
    </row>
    <row r="141">
      <c r="A141" s="4" t="s">
        <v>426</v>
      </c>
      <c r="B141" s="5" t="n">
        <v>46168</v>
      </c>
      <c r="C141" s="5" t="n">
        <v>46168</v>
      </c>
      <c r="D141" s="6" t="str">
        <f>IF(OR(C141="",B141=""),"",B141-C141)</f>
      </c>
      <c r="E141" s="7" t="n">
        <v>5221192.2815468</v>
      </c>
      <c r="F141" s="9" t="n">
        <v>57.9331656921259</v>
      </c>
      <c r="G141" s="8" t="n">
        <v>2395708.66427631</v>
      </c>
      <c r="H141" s="10" t="n">
        <v>26.5822401308813</v>
      </c>
      <c r="I141" s="13" t="str">
        <f>=HYPERLINK("https://ucloud.univie.ac.at/index.php/f/1515117563","Open Cytogram")</f>
      </c>
      <c r="J141" s="2" t="s">
        <v>314</v>
      </c>
      <c r="K141" t="s">
        <v>314</v>
      </c>
      <c r="L141" t="s">
        <v>314</v>
      </c>
      <c r="M141" t="s">
        <v>419</v>
      </c>
    </row>
    <row r="142">
      <c r="A142" s="4" t="s">
        <v>314</v>
      </c>
      <c r="B142" s="5" t="n">
        <v>46168</v>
      </c>
      <c r="C142" s="5" t="n">
        <v>46168</v>
      </c>
      <c r="D142" s="6" t="str">
        <f>IF(OR(C142="",B142=""),"",B142-C142)</f>
      </c>
      <c r="E142" s="7" t="n">
        <v>2401327.80661875</v>
      </c>
      <c r="F142" s="9" t="n">
        <v>45.3749901005781</v>
      </c>
      <c r="G142" s="8" t="n">
        <v>1994365.71564627</v>
      </c>
      <c r="H142" s="10" t="n">
        <v>37.6851191890394</v>
      </c>
      <c r="I142" s="13" t="str">
        <f>=HYPERLINK("https://ucloud.univie.ac.at/index.php/f/1515117563","Open Cytogram")</f>
      </c>
      <c r="J142" s="2" t="s">
        <v>314</v>
      </c>
      <c r="K142" s="3" t="s">
        <v>314</v>
      </c>
      <c r="L142" s="3" t="s">
        <v>314</v>
      </c>
      <c r="M142" s="3" t="s">
        <v>419</v>
      </c>
    </row>
    <row r="143">
      <c r="A143" s="4" t="s">
        <v>314</v>
      </c>
      <c r="B143" s="5" t="n">
        <v>46169</v>
      </c>
      <c r="C143" s="5" t="n">
        <v>46168</v>
      </c>
      <c r="D143" s="6" t="str">
        <f>IF(OR(C143="",B143=""),"",B143-C143)</f>
      </c>
      <c r="E143" s="7" t="n">
        <v>1195118.63828427</v>
      </c>
      <c r="F143" s="9" t="n">
        <v>27.3962478681069</v>
      </c>
      <c r="G143" s="8" t="n">
        <v>1983267.01605298</v>
      </c>
      <c r="H143" s="10" t="n">
        <v>45.4633314383172</v>
      </c>
      <c r="I143" s="13" t="str">
        <f>=HYPERLINK("https://ucloud.univie.ac.at/index.php/f/1515117563","Open Cytogram")</f>
      </c>
      <c r="J143" s="2" t="s">
        <v>314</v>
      </c>
      <c r="K143" t="s">
        <v>314</v>
      </c>
      <c r="L143" t="s">
        <v>314</v>
      </c>
      <c r="M143" t="s">
        <v>419</v>
      </c>
    </row>
    <row r="144">
      <c r="A144" s="4" t="s">
        <v>314</v>
      </c>
      <c r="B144" s="5" t="n">
        <v>46171</v>
      </c>
      <c r="C144" s="5" t="n">
        <v>46168</v>
      </c>
      <c r="D144" s="6" t="str">
        <f>IF(OR(C144="",B144=""),"",B144-C144)</f>
      </c>
      <c r="E144" s="7" t="n">
        <v>1669841.48562683</v>
      </c>
      <c r="F144" s="9" t="n">
        <v>25.960902823685</v>
      </c>
      <c r="G144" s="8" t="n">
        <v>3843854.8275906</v>
      </c>
      <c r="H144" s="10" t="n">
        <v>59.7601284351686</v>
      </c>
      <c r="I144" s="13" t="str">
        <f>=HYPERLINK("https://ucloud.univie.ac.at/index.php/f/1515117563","Open Cytogram")</f>
      </c>
      <c r="J144" s="2" t="s">
        <v>314</v>
      </c>
      <c r="K144" s="3" t="s">
        <v>314</v>
      </c>
      <c r="L144" s="3" t="s">
        <v>314</v>
      </c>
      <c r="M144" s="3" t="s">
        <v>419</v>
      </c>
    </row>
    <row r="145">
      <c r="A145" s="4" t="s">
        <v>314</v>
      </c>
      <c r="B145" s="5" t="n">
        <v>46175</v>
      </c>
      <c r="C145" s="5" t="n">
        <v>46168</v>
      </c>
      <c r="D145" s="6" t="str">
        <f>IF(OR(C145="",B145=""),"",B145-C145)</f>
      </c>
      <c r="E145" s="7" t="n">
        <v>3600877.90932591</v>
      </c>
      <c r="F145" s="9" t="n">
        <v>24.3214152002995</v>
      </c>
      <c r="G145" s="8" t="n">
        <v>9723132.51906303</v>
      </c>
      <c r="H145" s="10" t="n">
        <v>65.6729689254961</v>
      </c>
      <c r="I145" s="13" t="str">
        <f>=HYPERLINK("https://ucloud.univie.ac.at/index.php/f/1515117563","Open Cytogram")</f>
      </c>
      <c r="J145" s="2" t="s">
        <v>314</v>
      </c>
      <c r="K145" t="s">
        <v>314</v>
      </c>
      <c r="L145" t="s">
        <v>314</v>
      </c>
      <c r="M145" t="s">
        <v>419</v>
      </c>
    </row>
    <row r="146">
      <c r="A146" s="4" t="s">
        <v>314</v>
      </c>
      <c r="B146" s="5" t="n">
        <v>46178</v>
      </c>
      <c r="C146" s="5" t="n">
        <v>46168</v>
      </c>
      <c r="D146" s="6" t="str">
        <f>IF(OR(C146="",B146=""),"",B146-C146)</f>
      </c>
      <c r="E146" s="7" t="n">
        <v>2969680.07330288</v>
      </c>
      <c r="F146" s="9" t="n">
        <v>36.5133623368552</v>
      </c>
      <c r="G146" s="8" t="n">
        <v>3962943.28079908</v>
      </c>
      <c r="H146" s="10" t="n">
        <v>48.7259167184587</v>
      </c>
      <c r="I146" s="13" t="str">
        <f>=HYPERLINK("https://ucloud.univie.ac.at/index.php/f/1525440401","Open Cytogram")</f>
      </c>
      <c r="J146" s="2" t="s">
        <v>314</v>
      </c>
      <c r="K146" s="3" t="s">
        <v>314</v>
      </c>
      <c r="L146" s="3" t="s">
        <v>314</v>
      </c>
      <c r="M146" s="3" t="s">
        <v>333</v>
      </c>
    </row>
    <row r="147">
      <c r="A147" s="4" t="s">
        <v>314</v>
      </c>
      <c r="B147" s="5" t="n">
        <v>46182</v>
      </c>
      <c r="C147" s="5" t="n">
        <v>46168</v>
      </c>
      <c r="D147" s="6" t="str">
        <f>IF(OR(C147="",B147=""),"",B147-C147)</f>
      </c>
      <c r="E147" s="7" t="n">
        <v>3647862.33117773</v>
      </c>
      <c r="F147" s="9" t="n">
        <v>40.0703312974274</v>
      </c>
      <c r="G147" s="8" t="n">
        <v>4454520.10995432</v>
      </c>
      <c r="H147" s="10" t="n">
        <v>48.9311493614659</v>
      </c>
      <c r="I147" s="13" t="str">
        <f>=HYPERLINK("https://ucloud.univie.ac.at/index.php/f/1525440401","Open Cytogram")</f>
      </c>
      <c r="J147" s="2" t="s">
        <v>314</v>
      </c>
      <c r="K147" t="s">
        <v>314</v>
      </c>
      <c r="L147" t="s">
        <v>314</v>
      </c>
      <c r="M147" t="s">
        <v>333</v>
      </c>
    </row>
    <row r="148">
      <c r="A148" s="4" t="s">
        <v>314</v>
      </c>
      <c r="B148" s="5" t="n">
        <v>46196</v>
      </c>
      <c r="C148" s="5" t="n">
        <v>46168</v>
      </c>
      <c r="D148" s="6" t="str">
        <f>IF(OR(C148="",B148=""),"",B148-C148)</f>
      </c>
      <c r="E148" s="7" t="n">
        <v>5675600.14794478</v>
      </c>
      <c r="F148" s="9" t="n">
        <v>28.5686991648016</v>
      </c>
      <c r="G148" s="8" t="n">
        <v>12519722.1568641</v>
      </c>
      <c r="H148" s="10" t="n">
        <v>63.0192696107866</v>
      </c>
      <c r="I148" s="13" t="str">
        <f>=HYPERLINK("https://ucloud.univie.ac.at/index.php/f/1547933978","Open Cytogram")</f>
      </c>
      <c r="J148" s="2" t="s">
        <v>314</v>
      </c>
      <c r="K148" s="3" t="s">
        <v>314</v>
      </c>
      <c r="L148" s="3" t="s">
        <v>314</v>
      </c>
      <c r="M148" s="3" t="s">
        <v>345</v>
      </c>
    </row>
    <row r="149">
      <c r="A149" s="4" t="s">
        <v>314</v>
      </c>
      <c r="B149" s="5" t="n">
        <v>46204</v>
      </c>
      <c r="C149" s="5" t="n">
        <v>46168</v>
      </c>
      <c r="D149" s="6" t="str">
        <f>IF(OR(C149="",B149=""),"",B149-C149)</f>
      </c>
      <c r="E149" s="7" t="n">
        <v>3707119.79274378</v>
      </c>
      <c r="F149" s="9" t="n">
        <v>28.3092324805339</v>
      </c>
      <c r="G149" s="8" t="n">
        <v>7071931.8639572</v>
      </c>
      <c r="H149" s="10" t="n">
        <v>54.0044493882091</v>
      </c>
      <c r="I149" s="13" t="str">
        <f>=HYPERLINK("https://ucloud.univie.ac.at/index.php/f/1543012007","Open Cytogram")</f>
      </c>
      <c r="J149" s="2" t="s">
        <v>314</v>
      </c>
      <c r="K149" t="s">
        <v>314</v>
      </c>
      <c r="L149" t="s">
        <v>314</v>
      </c>
      <c r="M149" t="s">
        <v>358</v>
      </c>
    </row>
    <row r="150">
      <c r="A150" s="16" t="s">
        <v>314</v>
      </c>
      <c r="B150" s="17" t="n">
        <v>46213</v>
      </c>
      <c r="C150" s="17" t="n">
        <v>46168</v>
      </c>
      <c r="D150" s="18" t="str">
        <f>IF(OR(C150="",B150=""),"",B150-C150)</f>
      </c>
      <c r="E150" s="19" t="n">
        <v>2349890.15934718</v>
      </c>
      <c r="F150" s="21" t="n">
        <v>42.6227294212979</v>
      </c>
      <c r="G150" s="20" t="n">
        <v>783296.719782393</v>
      </c>
      <c r="H150" s="22" t="n">
        <v>14.207576473766</v>
      </c>
      <c r="I150" s="23" t="str">
        <f>=HYPERLINK("https://ucloud.univie.ac.at/index.php/f/1552579218","Open Cytogram")</f>
      </c>
      <c r="J150" s="14" t="s">
        <v>314</v>
      </c>
      <c r="K150" s="15" t="s">
        <v>314</v>
      </c>
      <c r="L150" s="15" t="s">
        <v>314</v>
      </c>
      <c r="M150" s="15" t="s">
        <v>347</v>
      </c>
    </row>
    <row r="151">
      <c r="A151" s="4" t="s">
        <v>427</v>
      </c>
      <c r="B151" s="5" t="n">
        <v>46168</v>
      </c>
      <c r="C151" s="5" t="n">
        <v>46168</v>
      </c>
      <c r="D151" s="6" t="str">
        <f>IF(OR(C151="",B151=""),"",B151-C151)</f>
      </c>
      <c r="E151" s="7" t="n">
        <v>2932243.91100355</v>
      </c>
      <c r="F151" s="9" t="n">
        <v>55.1977763523626</v>
      </c>
      <c r="G151" s="8" t="n">
        <v>690581.150406787</v>
      </c>
      <c r="H151" s="10" t="n">
        <v>12.9997861877272</v>
      </c>
      <c r="I151" s="13" t="str">
        <f>=HYPERLINK("https://ucloud.univie.ac.at/index.php/f/1515117563","Open Cytogram")</f>
      </c>
      <c r="J151" s="2" t="s">
        <v>314</v>
      </c>
      <c r="K151" t="s">
        <v>314</v>
      </c>
      <c r="L151" t="s">
        <v>314</v>
      </c>
      <c r="M151" t="s">
        <v>419</v>
      </c>
    </row>
    <row r="152">
      <c r="A152" s="4" t="s">
        <v>314</v>
      </c>
      <c r="B152" s="5" t="n">
        <v>46168</v>
      </c>
      <c r="C152" s="5" t="n">
        <v>46168</v>
      </c>
      <c r="D152" s="6" t="str">
        <f>IF(OR(C152="",B152=""),"",B152-C152)</f>
      </c>
      <c r="E152" s="7" t="n">
        <v>1276628.76323601</v>
      </c>
      <c r="F152" s="9" t="n">
        <v>41.0705858558619</v>
      </c>
      <c r="G152" s="8" t="n">
        <v>1030816.95442514</v>
      </c>
      <c r="H152" s="10" t="n">
        <v>33.1625429784939</v>
      </c>
      <c r="I152" s="13" t="str">
        <f>=HYPERLINK("https://ucloud.univie.ac.at/index.php/f/1515117563","Open Cytogram")</f>
      </c>
      <c r="J152" s="2" t="s">
        <v>314</v>
      </c>
      <c r="K152" s="3" t="s">
        <v>314</v>
      </c>
      <c r="L152" s="3" t="s">
        <v>314</v>
      </c>
      <c r="M152" s="3" t="s">
        <v>419</v>
      </c>
    </row>
    <row r="153">
      <c r="A153" s="4" t="s">
        <v>314</v>
      </c>
      <c r="B153" s="5" t="n">
        <v>46169</v>
      </c>
      <c r="C153" s="5" t="n">
        <v>46168</v>
      </c>
      <c r="D153" s="6" t="str">
        <f>IF(OR(C153="",B153=""),"",B153-C153)</f>
      </c>
      <c r="E153" s="7" t="n">
        <v>606671.088241668</v>
      </c>
      <c r="F153" s="9" t="n">
        <v>25.0714471291244</v>
      </c>
      <c r="G153" s="8" t="n">
        <v>963758.319455417</v>
      </c>
      <c r="H153" s="10" t="n">
        <v>39.8285268901013</v>
      </c>
      <c r="I153" s="13" t="str">
        <f>=HYPERLINK("https://ucloud.univie.ac.at/index.php/f/1515117563","Open Cytogram")</f>
      </c>
      <c r="J153" s="2" t="s">
        <v>314</v>
      </c>
      <c r="K153" t="s">
        <v>314</v>
      </c>
      <c r="L153" t="s">
        <v>314</v>
      </c>
      <c r="M153" t="s">
        <v>419</v>
      </c>
    </row>
    <row r="154">
      <c r="A154" s="4" t="s">
        <v>314</v>
      </c>
      <c r="B154" s="5" t="n">
        <v>46171</v>
      </c>
      <c r="C154" s="5" t="n">
        <v>46168</v>
      </c>
      <c r="D154" s="6" t="str">
        <f>IF(OR(C154="",B154=""),"",B154-C154)</f>
      </c>
      <c r="E154" s="7" t="n">
        <v>1787042.98698308</v>
      </c>
      <c r="F154" s="9" t="n">
        <v>19.1054527179831</v>
      </c>
      <c r="G154" s="8" t="n">
        <v>6651858.16789997</v>
      </c>
      <c r="H154" s="10" t="n">
        <v>71.1156713292571</v>
      </c>
      <c r="I154" s="13" t="str">
        <f>=HYPERLINK("https://ucloud.univie.ac.at/index.php/f/1515117563","Open Cytogram")</f>
      </c>
      <c r="J154" s="2" t="s">
        <v>314</v>
      </c>
      <c r="K154" s="3" t="s">
        <v>314</v>
      </c>
      <c r="L154" s="3" t="s">
        <v>314</v>
      </c>
      <c r="M154" s="3" t="s">
        <v>419</v>
      </c>
    </row>
    <row r="155">
      <c r="A155" s="4" t="s">
        <v>314</v>
      </c>
      <c r="B155" s="5" t="n">
        <v>46175</v>
      </c>
      <c r="C155" s="5" t="n">
        <v>46168</v>
      </c>
      <c r="D155" s="6" t="str">
        <f>IF(OR(C155="",B155=""),"",B155-C155)</f>
      </c>
      <c r="E155" s="7" t="n">
        <v>2742404.22649836</v>
      </c>
      <c r="F155" s="9" t="n">
        <v>21.6852947622178</v>
      </c>
      <c r="G155" s="8" t="n">
        <v>9058664.1882869</v>
      </c>
      <c r="H155" s="10" t="n">
        <v>71.6305062458909</v>
      </c>
      <c r="I155" s="13" t="str">
        <f>=HYPERLINK("https://ucloud.univie.ac.at/index.php/f/1515117563","Open Cytogram")</f>
      </c>
      <c r="J155" s="2" t="s">
        <v>314</v>
      </c>
      <c r="K155" t="s">
        <v>314</v>
      </c>
      <c r="L155" t="s">
        <v>314</v>
      </c>
      <c r="M155" t="s">
        <v>419</v>
      </c>
    </row>
    <row r="156">
      <c r="A156" s="4" t="s">
        <v>314</v>
      </c>
      <c r="B156" s="5" t="n">
        <v>46178</v>
      </c>
      <c r="C156" s="5" t="n">
        <v>46168</v>
      </c>
      <c r="D156" s="6" t="str">
        <f>IF(OR(C156="",B156=""),"",B156-C156)</f>
      </c>
      <c r="E156" s="7" t="n">
        <v>3528499.96410878</v>
      </c>
      <c r="F156" s="9" t="n">
        <v>22.0831498836405</v>
      </c>
      <c r="G156" s="8" t="n">
        <v>11346273.026143</v>
      </c>
      <c r="H156" s="10" t="n">
        <v>71.010755393421</v>
      </c>
      <c r="I156" s="13" t="str">
        <f>=HYPERLINK("https://ucloud.univie.ac.at/index.php/f/1525440401","Open Cytogram")</f>
      </c>
      <c r="J156" s="2" t="s">
        <v>314</v>
      </c>
      <c r="K156" s="3" t="s">
        <v>314</v>
      </c>
      <c r="L156" s="3" t="s">
        <v>314</v>
      </c>
      <c r="M156" s="3" t="s">
        <v>333</v>
      </c>
    </row>
    <row r="157">
      <c r="A157" s="4" t="s">
        <v>314</v>
      </c>
      <c r="B157" s="5" t="n">
        <v>46182</v>
      </c>
      <c r="C157" s="5" t="n">
        <v>46168</v>
      </c>
      <c r="D157" s="6" t="str">
        <f>IF(OR(C157="",B157=""),"",B157-C157)</f>
      </c>
      <c r="E157" s="7" t="n">
        <v>2153394.72510224</v>
      </c>
      <c r="F157" s="9" t="n">
        <v>25.3588977743521</v>
      </c>
      <c r="G157" s="8" t="n">
        <v>4619326.22261675</v>
      </c>
      <c r="H157" s="10" t="n">
        <v>54.3983042682339</v>
      </c>
      <c r="I157" s="13" t="str">
        <f>=HYPERLINK("https://ucloud.univie.ac.at/index.php/f/1525440401","Open Cytogram")</f>
      </c>
      <c r="J157" s="2" t="s">
        <v>314</v>
      </c>
      <c r="K157" t="s">
        <v>314</v>
      </c>
      <c r="L157" t="s">
        <v>314</v>
      </c>
      <c r="M157" t="s">
        <v>333</v>
      </c>
    </row>
    <row r="158">
      <c r="A158" s="4" t="s">
        <v>314</v>
      </c>
      <c r="B158" s="5" t="n">
        <v>46188</v>
      </c>
      <c r="C158" s="5" t="n">
        <v>46168</v>
      </c>
      <c r="D158" s="6" t="str">
        <f>IF(OR(C158="",B158=""),"",B158-C158)</f>
      </c>
      <c r="E158" s="7" t="n">
        <v>6145479.14569217</v>
      </c>
      <c r="F158" s="9" t="n">
        <v>30.4478801005801</v>
      </c>
      <c r="G158" s="8" t="n">
        <v>12784405.5948242</v>
      </c>
      <c r="H158" s="10" t="n">
        <v>63.34055319043</v>
      </c>
      <c r="I158" s="13" t="str">
        <f>=HYPERLINK("https://ucloud.univie.ac.at/index.php/f/1525440401","Open Cytogram")</f>
      </c>
      <c r="J158" s="2" t="s">
        <v>314</v>
      </c>
      <c r="K158" s="3" t="s">
        <v>314</v>
      </c>
      <c r="L158" s="3" t="s">
        <v>314</v>
      </c>
      <c r="M158" s="3" t="s">
        <v>333</v>
      </c>
    </row>
    <row r="159">
      <c r="A159" s="4" t="s">
        <v>314</v>
      </c>
      <c r="B159" s="5" t="n">
        <v>46196</v>
      </c>
      <c r="C159" s="5" t="n">
        <v>46168</v>
      </c>
      <c r="D159" s="6" t="str">
        <f>IF(OR(C159="",B159=""),"",B159-C159)</f>
      </c>
      <c r="E159" s="7" t="n">
        <v>2721159.2794463</v>
      </c>
      <c r="F159" s="9" t="n">
        <v>47.7481170261823</v>
      </c>
      <c r="G159" s="8" t="n">
        <v>1960204.12521976</v>
      </c>
      <c r="H159" s="10" t="n">
        <v>34.395655069939</v>
      </c>
      <c r="I159" s="13" t="str">
        <f>=HYPERLINK("https://ucloud.univie.ac.at/index.php/f/1547933978","Open Cytogram")</f>
      </c>
      <c r="J159" s="2" t="s">
        <v>314</v>
      </c>
      <c r="K159" t="s">
        <v>314</v>
      </c>
      <c r="L159" t="s">
        <v>314</v>
      </c>
      <c r="M159" t="s">
        <v>345</v>
      </c>
    </row>
    <row r="160">
      <c r="A160" s="4" t="s">
        <v>314</v>
      </c>
      <c r="B160" s="5" t="n">
        <v>46204</v>
      </c>
      <c r="C160" s="5" t="n">
        <v>46168</v>
      </c>
      <c r="D160" s="6" t="str">
        <f>IF(OR(C160="",B160=""),"",B160-C160)</f>
      </c>
      <c r="E160" s="7" t="n">
        <v>5338027.09431535</v>
      </c>
      <c r="F160" s="9" t="n">
        <v>19.5229661660188</v>
      </c>
      <c r="G160" s="8" t="n">
        <v>19181176.5288193</v>
      </c>
      <c r="H160" s="10" t="n">
        <v>70.1520344089978</v>
      </c>
      <c r="I160" s="13" t="str">
        <f>=HYPERLINK("https://ucloud.univie.ac.at/index.php/f/1543012007","Open Cytogram")</f>
      </c>
      <c r="J160" s="2" t="s">
        <v>314</v>
      </c>
      <c r="K160" s="3" t="s">
        <v>314</v>
      </c>
      <c r="L160" s="3" t="s">
        <v>314</v>
      </c>
      <c r="M160" s="3" t="s">
        <v>358</v>
      </c>
    </row>
    <row r="161">
      <c r="A161" s="16" t="s">
        <v>314</v>
      </c>
      <c r="B161" s="17" t="n">
        <v>46213</v>
      </c>
      <c r="C161" s="17" t="n">
        <v>46168</v>
      </c>
      <c r="D161" s="18" t="str">
        <f>IF(OR(C161="",B161=""),"",B161-C161)</f>
      </c>
      <c r="E161" s="19" t="n">
        <v>7368010.16219318</v>
      </c>
      <c r="F161" s="21" t="n">
        <v>35.9606685096758</v>
      </c>
      <c r="G161" s="20" t="n">
        <v>10161507.5068178</v>
      </c>
      <c r="H161" s="22" t="n">
        <v>49.5947474239759</v>
      </c>
      <c r="I161" s="23" t="str">
        <f>=HYPERLINK("https://ucloud.univie.ac.at/index.php/f/1552579218","Open Cytogram")</f>
      </c>
      <c r="J161" s="14" t="s">
        <v>314</v>
      </c>
      <c r="K161" s="24" t="s">
        <v>314</v>
      </c>
      <c r="L161" s="24" t="s">
        <v>314</v>
      </c>
      <c r="M161" s="24" t="s">
        <v>347</v>
      </c>
    </row>
    <row r="162">
      <c r="A162" s="4" t="s">
        <v>428</v>
      </c>
      <c r="B162" s="5" t="n">
        <v>46168</v>
      </c>
      <c r="C162" s="5" t="n">
        <v>46168</v>
      </c>
      <c r="D162" s="6" t="str">
        <f>IF(OR(C162="",B162=""),"",B162-C162)</f>
      </c>
      <c r="E162" s="7" t="n">
        <v>1155360.43781872</v>
      </c>
      <c r="F162" s="9" t="n">
        <v>49.7359671425777</v>
      </c>
      <c r="G162" s="8" t="n">
        <v>634244.267084128</v>
      </c>
      <c r="H162" s="10" t="n">
        <v>27.3029532564052</v>
      </c>
      <c r="I162" s="13" t="str">
        <f>=HYPERLINK("https://ucloud.univie.ac.at/index.php/f/1515117563","Open Cytogram")</f>
      </c>
      <c r="J162" s="2" t="s">
        <v>314</v>
      </c>
      <c r="K162" s="3" t="s">
        <v>314</v>
      </c>
      <c r="L162" s="3" t="s">
        <v>314</v>
      </c>
      <c r="M162" s="3" t="s">
        <v>419</v>
      </c>
    </row>
    <row r="163">
      <c r="A163" s="4" t="s">
        <v>314</v>
      </c>
      <c r="B163" s="5" t="n">
        <v>46168</v>
      </c>
      <c r="C163" s="5" t="n">
        <v>46168</v>
      </c>
      <c r="D163" s="6" t="str">
        <f>IF(OR(C163="",B163=""),"",B163-C163)</f>
      </c>
      <c r="E163" s="7" t="n">
        <v>1291926.51433847</v>
      </c>
      <c r="F163" s="9" t="n">
        <v>39.2750207045932</v>
      </c>
      <c r="G163" s="8" t="n">
        <v>1262797.9197735</v>
      </c>
      <c r="H163" s="10" t="n">
        <v>38.3895011785692</v>
      </c>
      <c r="I163" s="13" t="str">
        <f>=HYPERLINK("https://ucloud.univie.ac.at/index.php/f/1515117563","Open Cytogram")</f>
      </c>
      <c r="J163" s="2" t="s">
        <v>314</v>
      </c>
      <c r="K163" t="s">
        <v>314</v>
      </c>
      <c r="L163" t="s">
        <v>314</v>
      </c>
      <c r="M163" t="s">
        <v>419</v>
      </c>
    </row>
    <row r="164">
      <c r="A164" s="4" t="s">
        <v>314</v>
      </c>
      <c r="B164" s="5" t="n">
        <v>46169</v>
      </c>
      <c r="C164" s="5" t="n">
        <v>46168</v>
      </c>
      <c r="D164" s="6" t="str">
        <f>IF(OR(C164="",B164=""),"",B164-C164)</f>
      </c>
      <c r="E164" s="7" t="n">
        <v>1240584.74693978</v>
      </c>
      <c r="F164" s="9" t="n">
        <v>27.4493439050401</v>
      </c>
      <c r="G164" s="8" t="n">
        <v>2357320.57741987</v>
      </c>
      <c r="H164" s="10" t="n">
        <v>52.1583901330737</v>
      </c>
      <c r="I164" s="13" t="str">
        <f>=HYPERLINK("https://ucloud.univie.ac.at/index.php/f/1515117563","Open Cytogram")</f>
      </c>
      <c r="J164" s="2" t="s">
        <v>314</v>
      </c>
      <c r="K164" s="3" t="s">
        <v>314</v>
      </c>
      <c r="L164" s="3" t="s">
        <v>314</v>
      </c>
      <c r="M164" s="3" t="s">
        <v>419</v>
      </c>
    </row>
    <row r="165">
      <c r="A165" s="4" t="s">
        <v>314</v>
      </c>
      <c r="B165" s="5" t="n">
        <v>46171</v>
      </c>
      <c r="C165" s="5" t="n">
        <v>46168</v>
      </c>
      <c r="D165" s="6" t="str">
        <f>IF(OR(C165="",B165=""),"",B165-C165)</f>
      </c>
      <c r="E165" s="7" t="n">
        <v>1999196.41814552</v>
      </c>
      <c r="F165" s="9" t="n">
        <v>25.4209266913204</v>
      </c>
      <c r="G165" s="8" t="n">
        <v>4965315.49206362</v>
      </c>
      <c r="H165" s="10" t="n">
        <v>63.1368283663259</v>
      </c>
      <c r="I165" s="13" t="str">
        <f>=HYPERLINK("https://ucloud.univie.ac.at/index.php/f/1515117563","Open Cytogram")</f>
      </c>
      <c r="J165" s="2" t="s">
        <v>314</v>
      </c>
      <c r="K165" t="s">
        <v>314</v>
      </c>
      <c r="L165" t="s">
        <v>314</v>
      </c>
      <c r="M165" t="s">
        <v>419</v>
      </c>
    </row>
    <row r="166">
      <c r="A166" s="4" t="s">
        <v>314</v>
      </c>
      <c r="B166" s="5" t="n">
        <v>46175</v>
      </c>
      <c r="C166" s="5" t="n">
        <v>46168</v>
      </c>
      <c r="D166" s="6" t="str">
        <f>IF(OR(C166="",B166=""),"",B166-C166)</f>
      </c>
      <c r="E166" s="7" t="n">
        <v>1987203.90180566</v>
      </c>
      <c r="F166" s="9" t="n">
        <v>27.7064571757042</v>
      </c>
      <c r="G166" s="8" t="n">
        <v>4507627.10783027</v>
      </c>
      <c r="H166" s="10" t="n">
        <v>62.8472887526346</v>
      </c>
      <c r="I166" s="13" t="str">
        <f>=HYPERLINK("https://ucloud.univie.ac.at/index.php/f/1515117563","Open Cytogram")</f>
      </c>
      <c r="J166" s="2" t="s">
        <v>314</v>
      </c>
      <c r="K166" s="3" t="s">
        <v>314</v>
      </c>
      <c r="L166" s="3" t="s">
        <v>314</v>
      </c>
      <c r="M166" s="3" t="s">
        <v>419</v>
      </c>
    </row>
    <row r="167">
      <c r="A167" s="4" t="s">
        <v>314</v>
      </c>
      <c r="B167" s="5" t="n">
        <v>46178</v>
      </c>
      <c r="C167" s="5" t="n">
        <v>46168</v>
      </c>
      <c r="D167" s="6" t="str">
        <f>IF(OR(C167="",B167=""),"",B167-C167)</f>
      </c>
      <c r="E167" s="7" t="n">
        <v>3761153.83528258</v>
      </c>
      <c r="F167" s="9" t="n">
        <v>35.343280763056</v>
      </c>
      <c r="G167" s="8" t="n">
        <v>5165619.42908549</v>
      </c>
      <c r="H167" s="10" t="n">
        <v>48.5409387099821</v>
      </c>
      <c r="I167" s="13" t="str">
        <f>=HYPERLINK("https://ucloud.univie.ac.at/index.php/f/1525440401","Open Cytogram")</f>
      </c>
      <c r="J167" s="2" t="s">
        <v>314</v>
      </c>
      <c r="K167" t="s">
        <v>314</v>
      </c>
      <c r="L167" t="s">
        <v>314</v>
      </c>
      <c r="M167" t="s">
        <v>333</v>
      </c>
    </row>
    <row r="168">
      <c r="A168" s="4" t="s">
        <v>314</v>
      </c>
      <c r="B168" s="5" t="n">
        <v>46182</v>
      </c>
      <c r="C168" s="5" t="n">
        <v>46168</v>
      </c>
      <c r="D168" s="6" t="str">
        <f>IF(OR(C168="",B168=""),"",B168-C168)</f>
      </c>
      <c r="E168" s="7" t="n">
        <v>2894354.85520743</v>
      </c>
      <c r="F168" s="9" t="n">
        <v>38.2241688234123</v>
      </c>
      <c r="G168" s="8" t="n">
        <v>3533022.39357005</v>
      </c>
      <c r="H168" s="10" t="n">
        <v>46.6587032981618</v>
      </c>
      <c r="I168" s="13" t="str">
        <f>=HYPERLINK("https://ucloud.univie.ac.at/index.php/f/1525440401","Open Cytogram")</f>
      </c>
      <c r="J168" s="2" t="s">
        <v>314</v>
      </c>
      <c r="K168" s="3" t="s">
        <v>314</v>
      </c>
      <c r="L168" s="3" t="s">
        <v>314</v>
      </c>
      <c r="M168" s="3" t="s">
        <v>333</v>
      </c>
    </row>
    <row r="169">
      <c r="A169" s="4" t="s">
        <v>314</v>
      </c>
      <c r="B169" s="5" t="n">
        <v>46188</v>
      </c>
      <c r="C169" s="5" t="n">
        <v>46168</v>
      </c>
      <c r="D169" s="6" t="str">
        <f>IF(OR(C169="",B169=""),"",B169-C169)</f>
      </c>
      <c r="E169" s="7" t="n">
        <v>9115710.31741633</v>
      </c>
      <c r="F169" s="9" t="n">
        <v>34.8523563428176</v>
      </c>
      <c r="G169" s="8" t="n">
        <v>14542625.6709303</v>
      </c>
      <c r="H169" s="10" t="n">
        <v>55.6012372480836</v>
      </c>
      <c r="I169" s="13" t="str">
        <f>=HYPERLINK("https://ucloud.univie.ac.at/index.php/f/1525440401","Open Cytogram")</f>
      </c>
      <c r="J169" s="2" t="s">
        <v>314</v>
      </c>
      <c r="K169" t="s">
        <v>314</v>
      </c>
      <c r="L169" t="s">
        <v>314</v>
      </c>
      <c r="M169" t="s">
        <v>333</v>
      </c>
    </row>
    <row r="170">
      <c r="A170" s="4" t="s">
        <v>314</v>
      </c>
      <c r="B170" s="5" t="n">
        <v>46196</v>
      </c>
      <c r="C170" s="5" t="n">
        <v>46168</v>
      </c>
      <c r="D170" s="6" t="str">
        <f>IF(OR(C170="",B170=""),"",B170-C170)</f>
      </c>
      <c r="E170" s="7" t="n">
        <v>831156.140171555</v>
      </c>
      <c r="F170" s="9" t="n">
        <v>47.4669100867184</v>
      </c>
      <c r="G170" s="8" t="n">
        <v>325069.961552673</v>
      </c>
      <c r="H170" s="10" t="n">
        <v>18.5645823824738</v>
      </c>
      <c r="I170" s="13" t="str">
        <f>=HYPERLINK("https://ucloud.univie.ac.at/index.php/f/1547933978","Open Cytogram")</f>
      </c>
      <c r="J170" s="2" t="s">
        <v>314</v>
      </c>
      <c r="K170" s="3" t="s">
        <v>314</v>
      </c>
      <c r="L170" s="3" t="s">
        <v>314</v>
      </c>
      <c r="M170" s="3" t="s">
        <v>345</v>
      </c>
    </row>
    <row r="171">
      <c r="A171" s="16" t="s">
        <v>314</v>
      </c>
      <c r="B171" s="17" t="n">
        <v>46204</v>
      </c>
      <c r="C171" s="17" t="n">
        <v>46168</v>
      </c>
      <c r="D171" s="18" t="str">
        <f>IF(OR(C171="",B171=""),"",B171-C171)</f>
      </c>
      <c r="E171" s="19" t="n">
        <v>4337635.63785871</v>
      </c>
      <c r="F171" s="21" t="n">
        <v>36.7471180000864</v>
      </c>
      <c r="G171" s="20" t="n">
        <v>3715352.3440242</v>
      </c>
      <c r="H171" s="22" t="n">
        <v>31.4753248996157</v>
      </c>
      <c r="I171" s="23" t="str">
        <f>=HYPERLINK("https://ucloud.univie.ac.at/index.php/f/1543012007","Open Cytogram")</f>
      </c>
      <c r="J171" s="14" t="s">
        <v>314</v>
      </c>
      <c r="K171" s="24" t="s">
        <v>314</v>
      </c>
      <c r="L171" s="24" t="s">
        <v>314</v>
      </c>
      <c r="M171" s="24" t="s">
        <v>358</v>
      </c>
    </row>
    <row r="172">
      <c r="A172" s="4" t="s">
        <v>429</v>
      </c>
      <c r="B172" s="5" t="n">
        <v>46168</v>
      </c>
      <c r="C172" s="5" t="n">
        <v>46168</v>
      </c>
      <c r="D172" s="6" t="str">
        <f>IF(OR(C172="",B172=""),"",B172-C172)</f>
      </c>
      <c r="E172" s="7" t="n">
        <v>4578168.13014827</v>
      </c>
      <c r="F172" s="9" t="n">
        <v>55.4849597935074</v>
      </c>
      <c r="G172" s="8" t="n">
        <v>2523494.35550965</v>
      </c>
      <c r="H172" s="10" t="n">
        <v>30.5834077898011</v>
      </c>
      <c r="I172" s="13" t="str">
        <f>=HYPERLINK("https://ucloud.univie.ac.at/index.php/f/1515117563","Open Cytogram")</f>
      </c>
      <c r="J172" s="2" t="s">
        <v>314</v>
      </c>
      <c r="K172" s="3" t="s">
        <v>314</v>
      </c>
      <c r="L172" s="3" t="s">
        <v>314</v>
      </c>
      <c r="M172" s="3" t="s">
        <v>419</v>
      </c>
    </row>
    <row r="173">
      <c r="A173" s="4" t="s">
        <v>314</v>
      </c>
      <c r="B173" s="5" t="n">
        <v>46168</v>
      </c>
      <c r="C173" s="5" t="n">
        <v>46168</v>
      </c>
      <c r="D173" s="6" t="str">
        <f>IF(OR(C173="",B173=""),"",B173-C173)</f>
      </c>
      <c r="E173" s="7" t="n">
        <v>676034.863788471</v>
      </c>
      <c r="F173" s="9" t="n">
        <v>42.0599739243807</v>
      </c>
      <c r="G173" s="8" t="n">
        <v>316432.933763357</v>
      </c>
      <c r="H173" s="10" t="n">
        <v>19.6870925684485</v>
      </c>
      <c r="I173" s="13" t="str">
        <f>=HYPERLINK("https://ucloud.univie.ac.at/index.php/f/1515117563","Open Cytogram")</f>
      </c>
      <c r="J173" s="2" t="s">
        <v>314</v>
      </c>
      <c r="K173" t="s">
        <v>314</v>
      </c>
      <c r="L173" t="s">
        <v>314</v>
      </c>
      <c r="M173" t="s">
        <v>419</v>
      </c>
    </row>
    <row r="174">
      <c r="A174" s="4" t="s">
        <v>314</v>
      </c>
      <c r="B174" s="5" t="n">
        <v>46169</v>
      </c>
      <c r="C174" s="5" t="n">
        <v>46168</v>
      </c>
      <c r="D174" s="6" t="str">
        <f>IF(OR(C174="",B174=""),"",B174-C174)</f>
      </c>
      <c r="E174" s="7" t="n">
        <v>944898.078370184</v>
      </c>
      <c r="F174" s="9" t="n">
        <v>30.8012842407268</v>
      </c>
      <c r="G174" s="8" t="n">
        <v>1003993.50043725</v>
      </c>
      <c r="H174" s="10" t="n">
        <v>32.7276453309652</v>
      </c>
      <c r="I174" s="13" t="str">
        <f>=HYPERLINK("https://ucloud.univie.ac.at/index.php/f/1515117563","Open Cytogram")</f>
      </c>
      <c r="J174" s="2" t="s">
        <v>314</v>
      </c>
      <c r="K174" s="3" t="s">
        <v>314</v>
      </c>
      <c r="L174" s="3" t="s">
        <v>314</v>
      </c>
      <c r="M174" s="3" t="s">
        <v>419</v>
      </c>
    </row>
    <row r="175">
      <c r="A175" s="4" t="s">
        <v>314</v>
      </c>
      <c r="B175" s="5" t="n">
        <v>46171</v>
      </c>
      <c r="C175" s="5" t="n">
        <v>46168</v>
      </c>
      <c r="D175" s="6" t="str">
        <f>IF(OR(C175="",B175=""),"",B175-C175)</f>
      </c>
      <c r="E175" s="7" t="n">
        <v>3076140.16545896</v>
      </c>
      <c r="F175" s="9" t="n">
        <v>49.7526938703409</v>
      </c>
      <c r="G175" s="8" t="n">
        <v>1790911.00170827</v>
      </c>
      <c r="H175" s="10" t="n">
        <v>28.9657304363187</v>
      </c>
      <c r="I175" s="13" t="str">
        <f>=HYPERLINK("https://ucloud.univie.ac.at/index.php/f/1515117563","Open Cytogram")</f>
      </c>
      <c r="J175" s="2" t="s">
        <v>314</v>
      </c>
      <c r="K175" t="s">
        <v>314</v>
      </c>
      <c r="L175" t="s">
        <v>314</v>
      </c>
      <c r="M175" t="s">
        <v>419</v>
      </c>
    </row>
    <row r="176">
      <c r="A176" s="4" t="s">
        <v>314</v>
      </c>
      <c r="B176" s="5" t="n">
        <v>46175</v>
      </c>
      <c r="C176" s="5" t="n">
        <v>46168</v>
      </c>
      <c r="D176" s="6" t="str">
        <f>IF(OR(C176="",B176=""),"",B176-C176)</f>
      </c>
      <c r="E176" s="7" t="n">
        <v>4169505.82057165</v>
      </c>
      <c r="F176" s="9" t="n">
        <v>57.315168811588</v>
      </c>
      <c r="G176" s="8" t="n">
        <v>2250843.7096021</v>
      </c>
      <c r="H176" s="10" t="n">
        <v>30.9407140164773</v>
      </c>
      <c r="I176" s="13" t="str">
        <f>=HYPERLINK("https://ucloud.univie.ac.at/index.php/f/1515117563","Open Cytogram")</f>
      </c>
      <c r="J176" s="2" t="s">
        <v>314</v>
      </c>
      <c r="K176" s="3" t="s">
        <v>314</v>
      </c>
      <c r="L176" s="3" t="s">
        <v>314</v>
      </c>
      <c r="M176" s="3" t="s">
        <v>419</v>
      </c>
    </row>
    <row r="177">
      <c r="A177" s="4" t="s">
        <v>314</v>
      </c>
      <c r="B177" s="5" t="n">
        <v>46178</v>
      </c>
      <c r="C177" s="5" t="n">
        <v>46168</v>
      </c>
      <c r="D177" s="6" t="str">
        <f>IF(OR(C177="",B177=""),"",B177-C177)</f>
      </c>
      <c r="E177" s="7" t="n">
        <v>2394848.22576183</v>
      </c>
      <c r="F177" s="9" t="n">
        <v>43.6951652044054</v>
      </c>
      <c r="G177" s="8" t="n">
        <v>1511903.00784772</v>
      </c>
      <c r="H177" s="10" t="n">
        <v>27.5854022773941</v>
      </c>
      <c r="I177" s="13" t="str">
        <f>=HYPERLINK("https://ucloud.univie.ac.at/index.php/f/1525440401","Open Cytogram")</f>
      </c>
      <c r="J177" s="2" t="s">
        <v>314</v>
      </c>
      <c r="K177" t="s">
        <v>314</v>
      </c>
      <c r="L177" t="s">
        <v>314</v>
      </c>
      <c r="M177" t="s">
        <v>333</v>
      </c>
    </row>
    <row r="178">
      <c r="A178" s="4" t="s">
        <v>314</v>
      </c>
      <c r="B178" s="5" t="n">
        <v>46182</v>
      </c>
      <c r="C178" s="5" t="n">
        <v>46168</v>
      </c>
      <c r="D178" s="6" t="str">
        <f>IF(OR(C178="",B178=""),"",B178-C178)</f>
      </c>
      <c r="E178" s="7" t="n">
        <v>1759581.24807352</v>
      </c>
      <c r="F178" s="9" t="n">
        <v>39.297002932328</v>
      </c>
      <c r="G178" s="8" t="n">
        <v>1303444.0411158</v>
      </c>
      <c r="H178" s="10" t="n">
        <v>29.1100194219125</v>
      </c>
      <c r="I178" s="13" t="str">
        <f>=HYPERLINK("https://ucloud.univie.ac.at/index.php/f/1525440401","Open Cytogram")</f>
      </c>
      <c r="J178" s="2" t="s">
        <v>314</v>
      </c>
      <c r="K178" s="3" t="s">
        <v>314</v>
      </c>
      <c r="L178" s="3" t="s">
        <v>314</v>
      </c>
      <c r="M178" s="3" t="s">
        <v>333</v>
      </c>
    </row>
    <row r="179">
      <c r="A179" s="4" t="s">
        <v>314</v>
      </c>
      <c r="B179" s="5" t="n">
        <v>46188</v>
      </c>
      <c r="C179" s="5" t="n">
        <v>46168</v>
      </c>
      <c r="D179" s="6" t="str">
        <f>IF(OR(C179="",B179=""),"",B179-C179)</f>
      </c>
      <c r="E179" s="7" t="n">
        <v>1894401.41427709</v>
      </c>
      <c r="F179" s="9" t="n">
        <v>37.4071259709558</v>
      </c>
      <c r="G179" s="8" t="n">
        <v>1787505.95020548</v>
      </c>
      <c r="H179" s="10" t="n">
        <v>35.2963525835866</v>
      </c>
      <c r="I179" s="13" t="str">
        <f>=HYPERLINK("https://ucloud.univie.ac.at/index.php/f/1525440401","Open Cytogram")</f>
      </c>
      <c r="J179" s="2" t="s">
        <v>314</v>
      </c>
      <c r="K179" t="s">
        <v>314</v>
      </c>
      <c r="L179" t="s">
        <v>314</v>
      </c>
      <c r="M179" t="s">
        <v>333</v>
      </c>
    </row>
    <row r="180">
      <c r="A180" s="4" t="s">
        <v>314</v>
      </c>
      <c r="B180" s="5" t="n">
        <v>46196</v>
      </c>
      <c r="C180" s="5" t="n">
        <v>46168</v>
      </c>
      <c r="D180" s="6" t="str">
        <f>IF(OR(C180="",B180=""),"",B180-C180)</f>
      </c>
      <c r="E180" s="7" t="n">
        <v>2593076.4830412</v>
      </c>
      <c r="F180" s="9" t="n">
        <v>43.2723981900453</v>
      </c>
      <c r="G180" s="8" t="n">
        <v>2319755.72274072</v>
      </c>
      <c r="H180" s="10" t="n">
        <v>38.7113122171946</v>
      </c>
      <c r="I180" s="13" t="str">
        <f>=HYPERLINK("https://ucloud.univie.ac.at/index.php/f/1547933978","Open Cytogram")</f>
      </c>
      <c r="J180" s="2" t="s">
        <v>314</v>
      </c>
      <c r="K180" s="3" t="s">
        <v>314</v>
      </c>
      <c r="L180" s="3" t="s">
        <v>314</v>
      </c>
      <c r="M180" s="3" t="s">
        <v>345</v>
      </c>
    </row>
    <row r="181">
      <c r="A181" s="4" t="s">
        <v>314</v>
      </c>
      <c r="B181" s="5" t="n">
        <v>46204</v>
      </c>
      <c r="C181" s="5" t="n">
        <v>46168</v>
      </c>
      <c r="D181" s="6" t="str">
        <f>IF(OR(C181="",B181=""),"",B181-C181)</f>
      </c>
      <c r="E181" s="7" t="n">
        <v>681097.258380049</v>
      </c>
      <c r="F181" s="9" t="n">
        <v>27.3867198632089</v>
      </c>
      <c r="G181" s="8" t="n">
        <v>524871.144260766</v>
      </c>
      <c r="H181" s="10" t="n">
        <v>21.1049138948826</v>
      </c>
      <c r="I181" s="13" t="str">
        <f>=HYPERLINK("https://ucloud.univie.ac.at/index.php/f/1543012007","Open Cytogram")</f>
      </c>
      <c r="J181" s="2" t="s">
        <v>314</v>
      </c>
      <c r="K181" t="s">
        <v>314</v>
      </c>
      <c r="L181" t="s">
        <v>314</v>
      </c>
      <c r="M181" t="s">
        <v>358</v>
      </c>
    </row>
    <row r="182">
      <c r="A182" s="16" t="s">
        <v>314</v>
      </c>
      <c r="B182" s="17" t="n">
        <v>46213</v>
      </c>
      <c r="C182" s="17" t="n">
        <v>46168</v>
      </c>
      <c r="D182" s="18" t="str">
        <f>IF(OR(C182="",B182=""),"",B182-C182)</f>
      </c>
      <c r="E182" s="19" t="n">
        <v>2810466.05903274</v>
      </c>
      <c r="F182" s="21" t="n">
        <v>44.3156302983091</v>
      </c>
      <c r="G182" s="20" t="n">
        <v>2446044.13389294</v>
      </c>
      <c r="H182" s="22" t="n">
        <v>38.5693992576639</v>
      </c>
      <c r="I182" s="23" t="str">
        <f>=HYPERLINK("https://ucloud.univie.ac.at/index.php/f/1552579218","Open Cytogram")</f>
      </c>
      <c r="J182" s="14" t="s">
        <v>314</v>
      </c>
      <c r="K182" s="15" t="s">
        <v>314</v>
      </c>
      <c r="L182" s="15" t="s">
        <v>314</v>
      </c>
      <c r="M182" s="15" t="s">
        <v>347</v>
      </c>
    </row>
    <row r="183">
      <c r="A183" s="4" t="s">
        <v>430</v>
      </c>
      <c r="B183" s="5" t="n">
        <v>46168</v>
      </c>
      <c r="C183" s="5" t="n">
        <v>46168</v>
      </c>
      <c r="D183" s="6" t="str">
        <f>IF(OR(C183="",B183=""),"",B183-C183)</f>
      </c>
      <c r="E183" s="7" t="n">
        <v>3101708.89067574</v>
      </c>
      <c r="F183" s="9" t="n">
        <v>55.6465745608673</v>
      </c>
      <c r="G183" s="8" t="n">
        <v>633108.44282359</v>
      </c>
      <c r="H183" s="10" t="n">
        <v>11.358356767331</v>
      </c>
      <c r="I183" s="13" t="str">
        <f>=HYPERLINK("https://ucloud.univie.ac.at/index.php/f/1515117563","Open Cytogram")</f>
      </c>
      <c r="J183" s="2" t="s">
        <v>314</v>
      </c>
      <c r="K183" t="s">
        <v>314</v>
      </c>
      <c r="L183" t="s">
        <v>314</v>
      </c>
      <c r="M183" t="s">
        <v>419</v>
      </c>
    </row>
    <row r="184">
      <c r="A184" s="4" t="s">
        <v>314</v>
      </c>
      <c r="B184" s="5" t="n">
        <v>46168</v>
      </c>
      <c r="C184" s="5" t="n">
        <v>46168</v>
      </c>
      <c r="D184" s="6" t="str">
        <f>IF(OR(C184="",B184=""),"",B184-C184)</f>
      </c>
      <c r="E184" s="7" t="n">
        <v>1965656.23754986</v>
      </c>
      <c r="F184" s="9" t="n">
        <v>40.1833526110611</v>
      </c>
      <c r="G184" s="8" t="n">
        <v>1820851.49766213</v>
      </c>
      <c r="H184" s="10" t="n">
        <v>37.2231504091162</v>
      </c>
      <c r="I184" s="13" t="str">
        <f>=HYPERLINK("https://ucloud.univie.ac.at/index.php/f/1515117563","Open Cytogram")</f>
      </c>
      <c r="J184" s="2" t="s">
        <v>314</v>
      </c>
      <c r="K184" s="3" t="s">
        <v>314</v>
      </c>
      <c r="L184" s="3" t="s">
        <v>314</v>
      </c>
      <c r="M184" s="3" t="s">
        <v>419</v>
      </c>
    </row>
    <row r="185">
      <c r="A185" s="4" t="s">
        <v>314</v>
      </c>
      <c r="B185" s="5" t="n">
        <v>46169</v>
      </c>
      <c r="C185" s="5" t="n">
        <v>46168</v>
      </c>
      <c r="D185" s="6" t="str">
        <f>IF(OR(C185="",B185=""),"",B185-C185)</f>
      </c>
      <c r="E185" s="7" t="n">
        <v>729681.771764245</v>
      </c>
      <c r="F185" s="9" t="n">
        <v>31.3637182489642</v>
      </c>
      <c r="G185" s="8" t="n">
        <v>775994.141540207</v>
      </c>
      <c r="H185" s="10" t="n">
        <v>33.3543505674653</v>
      </c>
      <c r="I185" s="13" t="str">
        <f>=HYPERLINK("https://ucloud.univie.ac.at/index.php/f/1515117563","Open Cytogram")</f>
      </c>
      <c r="J185" s="2" t="s">
        <v>314</v>
      </c>
      <c r="K185" t="s">
        <v>314</v>
      </c>
      <c r="L185" t="s">
        <v>314</v>
      </c>
      <c r="M185" t="s">
        <v>419</v>
      </c>
    </row>
    <row r="186">
      <c r="A186" s="4" t="s">
        <v>314</v>
      </c>
      <c r="B186" s="5" t="n">
        <v>46171</v>
      </c>
      <c r="C186" s="5" t="n">
        <v>46168</v>
      </c>
      <c r="D186" s="6" t="str">
        <f>IF(OR(C186="",B186=""),"",B186-C186)</f>
      </c>
      <c r="E186" s="7" t="n">
        <v>4431177.17421144</v>
      </c>
      <c r="F186" s="9" t="n">
        <v>51.5917175955487</v>
      </c>
      <c r="G186" s="8" t="n">
        <v>2792597.42529644</v>
      </c>
      <c r="H186" s="10" t="n">
        <v>32.5139104259783</v>
      </c>
      <c r="I186" s="13" t="str">
        <f>=HYPERLINK("https://ucloud.univie.ac.at/index.php/f/1515117563","Open Cytogram")</f>
      </c>
      <c r="J186" s="2" t="s">
        <v>314</v>
      </c>
      <c r="K186" s="3" t="s">
        <v>314</v>
      </c>
      <c r="L186" s="3" t="s">
        <v>314</v>
      </c>
      <c r="M186" s="3" t="s">
        <v>419</v>
      </c>
    </row>
    <row r="187">
      <c r="A187" s="4" t="s">
        <v>314</v>
      </c>
      <c r="B187" s="5" t="n">
        <v>46175</v>
      </c>
      <c r="C187" s="5" t="n">
        <v>46168</v>
      </c>
      <c r="D187" s="6" t="str">
        <f>IF(OR(C187="",B187=""),"",B187-C187)</f>
      </c>
      <c r="E187" s="7" t="n">
        <v>3814995.97769141</v>
      </c>
      <c r="F187" s="9" t="n">
        <v>60.6526748458616</v>
      </c>
      <c r="G187" s="8" t="n">
        <v>1295821.61353354</v>
      </c>
      <c r="H187" s="10" t="n">
        <v>20.601606775861</v>
      </c>
      <c r="I187" s="13" t="str">
        <f>=HYPERLINK("https://ucloud.univie.ac.at/index.php/f/1515117563","Open Cytogram")</f>
      </c>
      <c r="J187" s="2" t="s">
        <v>314</v>
      </c>
      <c r="K187" t="s">
        <v>314</v>
      </c>
      <c r="L187" t="s">
        <v>314</v>
      </c>
      <c r="M187" t="s">
        <v>419</v>
      </c>
    </row>
    <row r="188">
      <c r="A188" s="4" t="s">
        <v>314</v>
      </c>
      <c r="B188" s="5" t="n">
        <v>46178</v>
      </c>
      <c r="C188" s="5" t="n">
        <v>46168</v>
      </c>
      <c r="D188" s="6" t="str">
        <f>IF(OR(C188="",B188=""),"",B188-C188)</f>
      </c>
      <c r="E188" s="7" t="n">
        <v>3878615.66756941</v>
      </c>
      <c r="F188" s="9" t="n">
        <v>52.2158327881271</v>
      </c>
      <c r="G188" s="8" t="n">
        <v>1481721.21882284</v>
      </c>
      <c r="H188" s="10" t="n">
        <v>19.9476602045384</v>
      </c>
      <c r="I188" s="13" t="str">
        <f>=HYPERLINK("https://ucloud.univie.ac.at/index.php/f/1525440401","Open Cytogram")</f>
      </c>
      <c r="J188" s="2" t="s">
        <v>314</v>
      </c>
      <c r="K188" s="3" t="s">
        <v>314</v>
      </c>
      <c r="L188" s="3" t="s">
        <v>314</v>
      </c>
      <c r="M188" s="3" t="s">
        <v>333</v>
      </c>
    </row>
    <row r="189">
      <c r="A189" s="4" t="s">
        <v>314</v>
      </c>
      <c r="B189" s="5" t="n">
        <v>46182</v>
      </c>
      <c r="C189" s="5" t="n">
        <v>46168</v>
      </c>
      <c r="D189" s="6" t="str">
        <f>IF(OR(C189="",B189=""),"",B189-C189)</f>
      </c>
      <c r="E189" s="7" t="n">
        <v>1511306.19262289</v>
      </c>
      <c r="F189" s="9" t="n">
        <v>36.4882667764512</v>
      </c>
      <c r="G189" s="8" t="n">
        <v>776371.104029338</v>
      </c>
      <c r="H189" s="10" t="n">
        <v>18.7443392342528</v>
      </c>
      <c r="I189" s="13" t="str">
        <f>=HYPERLINK("https://ucloud.univie.ac.at/index.php/f/1525440401","Open Cytogram")</f>
      </c>
      <c r="J189" s="2" t="s">
        <v>314</v>
      </c>
      <c r="K189" t="s">
        <v>314</v>
      </c>
      <c r="L189" t="s">
        <v>314</v>
      </c>
      <c r="M189" t="s">
        <v>333</v>
      </c>
    </row>
    <row r="190">
      <c r="A190" s="4" t="s">
        <v>314</v>
      </c>
      <c r="B190" s="5" t="n">
        <v>46188</v>
      </c>
      <c r="C190" s="5" t="n">
        <v>46168</v>
      </c>
      <c r="D190" s="6" t="str">
        <f>IF(OR(C190="",B190=""),"",B190-C190)</f>
      </c>
      <c r="E190" s="7" t="n">
        <v>3731934.44166808</v>
      </c>
      <c r="F190" s="9" t="n">
        <v>44.8509763617677</v>
      </c>
      <c r="G190" s="8" t="n">
        <v>2588366.76702998</v>
      </c>
      <c r="H190" s="10" t="n">
        <v>31.1073997944502</v>
      </c>
      <c r="I190" s="13" t="str">
        <f>=HYPERLINK("https://ucloud.univie.ac.at/index.php/f/1525440401","Open Cytogram")</f>
      </c>
      <c r="J190" s="2" t="s">
        <v>314</v>
      </c>
      <c r="K190" s="3" t="s">
        <v>314</v>
      </c>
      <c r="L190" s="3" t="s">
        <v>314</v>
      </c>
      <c r="M190" s="3" t="s">
        <v>333</v>
      </c>
    </row>
    <row r="191">
      <c r="A191" s="4" t="s">
        <v>314</v>
      </c>
      <c r="B191" s="5" t="n">
        <v>46196</v>
      </c>
      <c r="C191" s="5" t="n">
        <v>46168</v>
      </c>
      <c r="D191" s="6" t="str">
        <f>IF(OR(C191="",B191=""),"",B191-C191)</f>
      </c>
      <c r="E191" s="7" t="n">
        <v>1283696.68283708</v>
      </c>
      <c r="F191" s="9" t="n">
        <v>50.4356699897951</v>
      </c>
      <c r="G191" s="8" t="n">
        <v>574816.397902299</v>
      </c>
      <c r="H191" s="10" t="n">
        <v>22.5841902818118</v>
      </c>
      <c r="I191" s="13" t="str">
        <f>=HYPERLINK("https://ucloud.univie.ac.at/index.php/f/1547933978","Open Cytogram")</f>
      </c>
      <c r="J191" s="2" t="s">
        <v>314</v>
      </c>
      <c r="K191" t="s">
        <v>314</v>
      </c>
      <c r="L191" t="s">
        <v>314</v>
      </c>
      <c r="M191" t="s">
        <v>345</v>
      </c>
    </row>
    <row r="192">
      <c r="A192" s="4" t="s">
        <v>314</v>
      </c>
      <c r="B192" s="5" t="n">
        <v>46204</v>
      </c>
      <c r="C192" s="5" t="n">
        <v>46168</v>
      </c>
      <c r="D192" s="6" t="str">
        <f>IF(OR(C192="",B192=""),"",B192-C192)</f>
      </c>
      <c r="E192" s="7" t="n">
        <v>1908732.79544829</v>
      </c>
      <c r="F192" s="9" t="n">
        <v>24.2170439072014</v>
      </c>
      <c r="G192" s="8" t="n">
        <v>2443728.76888076</v>
      </c>
      <c r="H192" s="10" t="n">
        <v>31.0048043573209</v>
      </c>
      <c r="I192" s="13" t="str">
        <f>=HYPERLINK("https://ucloud.univie.ac.at/index.php/f/1543012007","Open Cytogram")</f>
      </c>
      <c r="J192" s="2" t="s">
        <v>314</v>
      </c>
      <c r="K192" s="3" t="s">
        <v>314</v>
      </c>
      <c r="L192" s="3" t="s">
        <v>314</v>
      </c>
      <c r="M192" s="3" t="s">
        <v>358</v>
      </c>
    </row>
    <row r="193">
      <c r="A193" s="16" t="s">
        <v>314</v>
      </c>
      <c r="B193" s="17" t="n">
        <v>46213</v>
      </c>
      <c r="C193" s="17" t="n">
        <v>46168</v>
      </c>
      <c r="D193" s="18" t="str">
        <f>IF(OR(C193="",B193=""),"",B193-C193)</f>
      </c>
      <c r="E193" s="19" t="n">
        <v>3800135.90864522</v>
      </c>
      <c r="F193" s="21" t="n">
        <v>43.4321954859168</v>
      </c>
      <c r="G193" s="20" t="n">
        <v>3771411.29432115</v>
      </c>
      <c r="H193" s="22" t="n">
        <v>43.1038985263943</v>
      </c>
      <c r="I193" s="23" t="str">
        <f>=HYPERLINK("https://ucloud.univie.ac.at/index.php/f/1552579218","Open Cytogram")</f>
      </c>
      <c r="J193" s="14" t="s">
        <v>314</v>
      </c>
      <c r="K193" s="24" t="s">
        <v>314</v>
      </c>
      <c r="L193" s="24" t="s">
        <v>314</v>
      </c>
      <c r="M193" s="24" t="s">
        <v>347</v>
      </c>
    </row>
    <row r="194">
      <c r="A194" s="4" t="s">
        <v>431</v>
      </c>
      <c r="B194" s="5" t="n">
        <v>46168</v>
      </c>
      <c r="C194" s="5" t="n">
        <v>46168</v>
      </c>
      <c r="D194" s="6" t="str">
        <f>IF(OR(C194="",B194=""),"",B194-C194)</f>
      </c>
      <c r="E194" s="7" t="n">
        <v>1392671.9866025</v>
      </c>
      <c r="F194" s="9" t="n">
        <v>45.6015074878508</v>
      </c>
      <c r="G194" s="8" t="n">
        <v>1102506.74885453</v>
      </c>
      <c r="H194" s="10" t="n">
        <v>36.1003669542795</v>
      </c>
      <c r="I194" s="13" t="str">
        <f>=HYPERLINK("https://ucloud.univie.ac.at/index.php/f/1515117563","Open Cytogram")</f>
      </c>
      <c r="J194" s="2" t="s">
        <v>314</v>
      </c>
      <c r="K194" s="3" t="s">
        <v>314</v>
      </c>
      <c r="L194" s="3" t="s">
        <v>314</v>
      </c>
      <c r="M194" s="3" t="s">
        <v>419</v>
      </c>
    </row>
    <row r="195">
      <c r="A195" s="4" t="s">
        <v>314</v>
      </c>
      <c r="B195" s="5" t="n">
        <v>46168</v>
      </c>
      <c r="C195" s="5" t="n">
        <v>46168</v>
      </c>
      <c r="D195" s="6" t="str">
        <f>IF(OR(C195="",B195=""),"",B195-C195)</f>
      </c>
      <c r="E195" s="7" t="n">
        <v>1040247.07496775</v>
      </c>
      <c r="F195" s="9" t="n">
        <v>34.5562130177515</v>
      </c>
      <c r="G195" s="8" t="n">
        <v>904453.339154073</v>
      </c>
      <c r="H195" s="10" t="n">
        <v>30.0452488687783</v>
      </c>
      <c r="I195" s="13" t="str">
        <f>=HYPERLINK("https://ucloud.univie.ac.at/index.php/f/1515117563","Open Cytogram")</f>
      </c>
      <c r="J195" s="2" t="s">
        <v>314</v>
      </c>
      <c r="K195" t="s">
        <v>314</v>
      </c>
      <c r="L195" t="s">
        <v>314</v>
      </c>
      <c r="M195" t="s">
        <v>419</v>
      </c>
    </row>
    <row r="196">
      <c r="A196" s="4" t="s">
        <v>314</v>
      </c>
      <c r="B196" s="5" t="n">
        <v>46169</v>
      </c>
      <c r="C196" s="5" t="n">
        <v>46168</v>
      </c>
      <c r="D196" s="6" t="str">
        <f>IF(OR(C196="",B196=""),"",B196-C196)</f>
      </c>
      <c r="E196" s="7" t="n">
        <v>632446.75086518</v>
      </c>
      <c r="F196" s="9" t="n">
        <v>37.2807378736721</v>
      </c>
      <c r="G196" s="8" t="n">
        <v>495255.960198158</v>
      </c>
      <c r="H196" s="10" t="n">
        <v>29.1937741908919</v>
      </c>
      <c r="I196" s="13" t="str">
        <f>=HYPERLINK("https://ucloud.univie.ac.at/index.php/f/1515117563","Open Cytogram")</f>
      </c>
      <c r="J196" s="2" t="s">
        <v>314</v>
      </c>
      <c r="K196" s="3" t="s">
        <v>314</v>
      </c>
      <c r="L196" s="3" t="s">
        <v>314</v>
      </c>
      <c r="M196" s="3" t="s">
        <v>419</v>
      </c>
    </row>
    <row r="197">
      <c r="A197" s="4" t="s">
        <v>314</v>
      </c>
      <c r="B197" s="5" t="n">
        <v>46171</v>
      </c>
      <c r="C197" s="5" t="n">
        <v>46168</v>
      </c>
      <c r="D197" s="6" t="str">
        <f>IF(OR(C197="",B197=""),"",B197-C197)</f>
      </c>
      <c r="E197" s="7" t="n">
        <v>993725.14695751</v>
      </c>
      <c r="F197" s="9" t="n">
        <v>52.8238832572129</v>
      </c>
      <c r="G197" s="8" t="n">
        <v>301763.857363731</v>
      </c>
      <c r="H197" s="10" t="n">
        <v>16.04099365044</v>
      </c>
      <c r="I197" s="13" t="str">
        <f>=HYPERLINK("https://ucloud.univie.ac.at/index.php/f/1515117563","Open Cytogram")</f>
      </c>
      <c r="J197" s="2" t="s">
        <v>314</v>
      </c>
      <c r="K197" t="s">
        <v>314</v>
      </c>
      <c r="L197" t="s">
        <v>314</v>
      </c>
      <c r="M197" t="s">
        <v>419</v>
      </c>
    </row>
    <row r="198">
      <c r="A198" s="4" t="s">
        <v>314</v>
      </c>
      <c r="B198" s="5" t="n">
        <v>46175</v>
      </c>
      <c r="C198" s="5" t="n">
        <v>46168</v>
      </c>
      <c r="D198" s="6" t="str">
        <f>IF(OR(C198="",B198=""),"",B198-C198)</f>
      </c>
      <c r="E198" s="7" t="n">
        <v>3402511.04448378</v>
      </c>
      <c r="F198" s="9" t="n">
        <v>54.9851237576755</v>
      </c>
      <c r="G198" s="8" t="n">
        <v>1071755.7238899</v>
      </c>
      <c r="H198" s="10" t="n">
        <v>17.3197442552383</v>
      </c>
      <c r="I198" s="13" t="str">
        <f>=HYPERLINK("https://ucloud.univie.ac.at/index.php/f/1515117563","Open Cytogram")</f>
      </c>
      <c r="J198" s="2" t="s">
        <v>314</v>
      </c>
      <c r="K198" s="3" t="s">
        <v>314</v>
      </c>
      <c r="L198" s="3" t="s">
        <v>314</v>
      </c>
      <c r="M198" s="3" t="s">
        <v>419</v>
      </c>
    </row>
    <row r="199">
      <c r="A199" s="4" t="s">
        <v>314</v>
      </c>
      <c r="B199" s="5" t="n">
        <v>46178</v>
      </c>
      <c r="C199" s="5" t="n">
        <v>46168</v>
      </c>
      <c r="D199" s="6" t="str">
        <f>IF(OR(C199="",B199=""),"",B199-C199)</f>
      </c>
      <c r="E199" s="7" t="n">
        <v>3417448.4244312</v>
      </c>
      <c r="F199" s="9" t="n">
        <v>44.1815488437166</v>
      </c>
      <c r="G199" s="8" t="n">
        <v>1298293.01697447</v>
      </c>
      <c r="H199" s="10" t="n">
        <v>16.7846267796889</v>
      </c>
      <c r="I199" s="13" t="str">
        <f>=HYPERLINK("https://ucloud.univie.ac.at/index.php/f/1525440401","Open Cytogram")</f>
      </c>
      <c r="J199" s="2" t="s">
        <v>314</v>
      </c>
      <c r="K199" t="s">
        <v>314</v>
      </c>
      <c r="L199" t="s">
        <v>314</v>
      </c>
      <c r="M199" t="s">
        <v>333</v>
      </c>
    </row>
    <row r="200">
      <c r="A200" s="4" t="s">
        <v>314</v>
      </c>
      <c r="B200" s="5" t="n">
        <v>46182</v>
      </c>
      <c r="C200" s="5" t="n">
        <v>46168</v>
      </c>
      <c r="D200" s="6" t="str">
        <f>IF(OR(C200="",B200=""),"",B200-C200)</f>
      </c>
      <c r="E200" s="7" t="n">
        <v>2418260.36393673</v>
      </c>
      <c r="F200" s="9" t="n">
        <v>32.1114463632278</v>
      </c>
      <c r="G200" s="8" t="n">
        <v>1594930.21603904</v>
      </c>
      <c r="H200" s="10" t="n">
        <v>21.1786608461193</v>
      </c>
      <c r="I200" s="13" t="str">
        <f>=HYPERLINK("https://ucloud.univie.ac.at/index.php/f/1525440401","Open Cytogram")</f>
      </c>
      <c r="J200" s="2" t="s">
        <v>314</v>
      </c>
      <c r="K200" s="3" t="s">
        <v>314</v>
      </c>
      <c r="L200" s="3" t="s">
        <v>314</v>
      </c>
      <c r="M200" s="3" t="s">
        <v>333</v>
      </c>
    </row>
    <row r="201">
      <c r="A201" s="4" t="s">
        <v>314</v>
      </c>
      <c r="B201" s="5" t="n">
        <v>46188</v>
      </c>
      <c r="C201" s="5" t="n">
        <v>46168</v>
      </c>
      <c r="D201" s="6" t="str">
        <f>IF(OR(C201="",B201=""),"",B201-C201)</f>
      </c>
      <c r="E201" s="7" t="n">
        <v>2730781.97603971</v>
      </c>
      <c r="F201" s="9" t="n">
        <v>33.9827756600311</v>
      </c>
      <c r="G201" s="8" t="n">
        <v>2777297.16549448</v>
      </c>
      <c r="H201" s="10" t="n">
        <v>34.561626429479</v>
      </c>
      <c r="I201" s="13" t="str">
        <f>=HYPERLINK("https://ucloud.univie.ac.at/index.php/f/1525440401","Open Cytogram")</f>
      </c>
      <c r="J201" s="2" t="s">
        <v>314</v>
      </c>
      <c r="K201" t="s">
        <v>314</v>
      </c>
      <c r="L201" t="s">
        <v>314</v>
      </c>
      <c r="M201" t="s">
        <v>333</v>
      </c>
    </row>
    <row r="202">
      <c r="A202" s="4" t="s">
        <v>314</v>
      </c>
      <c r="B202" s="5" t="n">
        <v>46196</v>
      </c>
      <c r="C202" s="5" t="n">
        <v>46168</v>
      </c>
      <c r="D202" s="6" t="str">
        <f>IF(OR(C202="",B202=""),"",B202-C202)</f>
      </c>
      <c r="E202" s="7" t="n">
        <v>2135232.13221476</v>
      </c>
      <c r="F202" s="9" t="n">
        <v>43.643565973782</v>
      </c>
      <c r="G202" s="8" t="n">
        <v>1367012.09400331</v>
      </c>
      <c r="H202" s="10" t="n">
        <v>27.9413566382162</v>
      </c>
      <c r="I202" s="13" t="str">
        <f>=HYPERLINK("https://ucloud.univie.ac.at/index.php/f/1547933978","Open Cytogram")</f>
      </c>
      <c r="J202" s="2" t="s">
        <v>314</v>
      </c>
      <c r="K202" s="3" t="s">
        <v>314</v>
      </c>
      <c r="L202" s="3" t="s">
        <v>314</v>
      </c>
      <c r="M202" s="3" t="s">
        <v>345</v>
      </c>
    </row>
    <row r="203">
      <c r="A203" s="4" t="s">
        <v>314</v>
      </c>
      <c r="B203" s="5" t="n">
        <v>46204</v>
      </c>
      <c r="C203" s="5" t="n">
        <v>46168</v>
      </c>
      <c r="D203" s="6" t="str">
        <f>IF(OR(C203="",B203=""),"",B203-C203)</f>
      </c>
      <c r="E203" s="7" t="n">
        <v>5264975.63273882</v>
      </c>
      <c r="F203" s="9" t="n">
        <v>34.3069032770701</v>
      </c>
      <c r="G203" s="8" t="n">
        <v>4136080.31002566</v>
      </c>
      <c r="H203" s="10" t="n">
        <v>26.9509523006911</v>
      </c>
      <c r="I203" s="13" t="str">
        <f>=HYPERLINK("https://ucloud.univie.ac.at/index.php/f/1543012007","Open Cytogram")</f>
      </c>
      <c r="J203" s="2" t="s">
        <v>314</v>
      </c>
      <c r="K203" t="s">
        <v>314</v>
      </c>
      <c r="L203" t="s">
        <v>314</v>
      </c>
      <c r="M203" t="s">
        <v>358</v>
      </c>
    </row>
    <row r="204">
      <c r="A204" s="16" t="s">
        <v>314</v>
      </c>
      <c r="B204" s="17" t="n">
        <v>46213</v>
      </c>
      <c r="C204" s="17" t="n">
        <v>46168</v>
      </c>
      <c r="D204" s="18" t="str">
        <f>IF(OR(C204="",B204=""),"",B204-C204)</f>
      </c>
      <c r="E204" s="19" t="n">
        <v>3268754.23761765</v>
      </c>
      <c r="F204" s="21" t="n">
        <v>54.0587302350171</v>
      </c>
      <c r="G204" s="20" t="n">
        <v>1452456.76383473</v>
      </c>
      <c r="H204" s="22" t="n">
        <v>24.0207622434758</v>
      </c>
      <c r="I204" s="23" t="str">
        <f>=HYPERLINK("https://ucloud.univie.ac.at/index.php/f/1552579218","Open Cytogram")</f>
      </c>
      <c r="J204" s="14" t="s">
        <v>314</v>
      </c>
      <c r="K204" s="15" t="s">
        <v>314</v>
      </c>
      <c r="L204" s="15" t="s">
        <v>314</v>
      </c>
      <c r="M204" s="15" t="s">
        <v>347</v>
      </c>
    </row>
    <row r="205">
      <c r="A205" s="4" t="s">
        <v>432</v>
      </c>
      <c r="B205" s="5" t="n">
        <v>46184</v>
      </c>
      <c r="C205" s="5" t="n">
        <v>46184</v>
      </c>
      <c r="D205" s="6" t="str">
        <f>IF(OR(C205="",B205=""),"",B205-C205)</f>
      </c>
      <c r="E205" s="7" t="n">
        <v>1106286.06346624</v>
      </c>
      <c r="F205" s="9" t="n">
        <v>31.3524207697189</v>
      </c>
      <c r="G205" s="8" t="n">
        <v>2066235.20390461</v>
      </c>
      <c r="H205" s="10" t="n">
        <v>58.557616932323</v>
      </c>
      <c r="I205" s="13" t="str">
        <f>=HYPERLINK("https://ucloud.univie.ac.at/index.php/f/1525440401","Open Cytogram")</f>
      </c>
      <c r="J205" s="2" t="s">
        <v>314</v>
      </c>
      <c r="K205" t="s">
        <v>314</v>
      </c>
      <c r="L205" t="s">
        <v>314</v>
      </c>
      <c r="M205" t="s">
        <v>333</v>
      </c>
    </row>
    <row r="206">
      <c r="A206" s="4" t="s">
        <v>314</v>
      </c>
      <c r="B206" s="5" t="n">
        <v>46191</v>
      </c>
      <c r="C206" s="5" t="n">
        <v>46184</v>
      </c>
      <c r="D206" s="6" t="str">
        <f>IF(OR(C206="",B206=""),"",B206-C206)</f>
      </c>
      <c r="E206" s="7" t="n">
        <v>6168659.27719788</v>
      </c>
      <c r="F206" s="9" t="n">
        <v>25.118</v>
      </c>
      <c r="G206" s="8" t="n">
        <v>15110489.2112203</v>
      </c>
      <c r="H206" s="10" t="n">
        <v>61.528</v>
      </c>
      <c r="I206" s="13" t="str">
        <f>=HYPERLINK("https://ucloud.univie.ac.at/index.php/f/1527059776","Open Cytogram")</f>
      </c>
      <c r="J206" s="2" t="s">
        <v>314</v>
      </c>
      <c r="K206" s="3" t="s">
        <v>314</v>
      </c>
      <c r="L206" s="3" t="s">
        <v>314</v>
      </c>
      <c r="M206" s="3" t="s">
        <v>341</v>
      </c>
    </row>
    <row r="207">
      <c r="A207" s="4" t="s">
        <v>314</v>
      </c>
      <c r="B207" s="5" t="n">
        <v>46196</v>
      </c>
      <c r="C207" s="5" t="n">
        <v>46184</v>
      </c>
      <c r="D207" s="6" t="str">
        <f>IF(OR(C207="",B207=""),"",B207-C207)</f>
      </c>
      <c r="E207" s="7" t="n">
        <v>6493988.60589812</v>
      </c>
      <c r="F207" s="9" t="n">
        <v>27.2143291183194</v>
      </c>
      <c r="G207" s="8" t="n">
        <v>16528081.3672922</v>
      </c>
      <c r="H207" s="10" t="n">
        <v>69.2641569489858</v>
      </c>
      <c r="I207" s="13" t="str">
        <f>=HYPERLINK("https://ucloud.univie.ac.at/index.php/f/1556102548","Open Cytogram")</f>
      </c>
      <c r="J207" s="2" t="s">
        <v>314</v>
      </c>
      <c r="K207" t="s">
        <v>314</v>
      </c>
      <c r="L207" t="s">
        <v>314</v>
      </c>
      <c r="M207" t="s">
        <v>390</v>
      </c>
    </row>
    <row r="208">
      <c r="A208" s="4" t="s">
        <v>314</v>
      </c>
      <c r="B208" s="5" t="n">
        <v>46197</v>
      </c>
      <c r="C208" s="5" t="n">
        <v>46184</v>
      </c>
      <c r="D208" s="6" t="str">
        <f>IF(OR(C208="",B208=""),"",B208-C208)</f>
      </c>
      <c r="E208" s="7" t="n">
        <v>5316715.81769437</v>
      </c>
      <c r="F208" s="9" t="n">
        <v>20.5530642750374</v>
      </c>
      <c r="G208" s="8" t="n">
        <v>19515799.463807</v>
      </c>
      <c r="H208" s="10" t="n">
        <v>75.4430920350203</v>
      </c>
      <c r="I208" s="13" t="str">
        <f>=HYPERLINK("https://ucloud.univie.ac.at/index.php/f/1556102548","Open Cytogram")</f>
      </c>
      <c r="J208" s="2" t="s">
        <v>314</v>
      </c>
      <c r="K208" s="3" t="s">
        <v>314</v>
      </c>
      <c r="L208" s="3" t="s">
        <v>314</v>
      </c>
      <c r="M208" s="3" t="s">
        <v>390</v>
      </c>
    </row>
    <row r="209">
      <c r="A209" s="4" t="s">
        <v>314</v>
      </c>
      <c r="B209" s="5" t="n">
        <v>46199</v>
      </c>
      <c r="C209" s="5" t="n">
        <v>46184</v>
      </c>
      <c r="D209" s="6" t="str">
        <f>IF(OR(C209="",B209=""),"",B209-C209)</f>
      </c>
      <c r="E209" s="7" t="n">
        <v>3591219.64869962</v>
      </c>
      <c r="F209" s="9" t="n">
        <v>27.2690136660725</v>
      </c>
      <c r="G209" s="8" t="n">
        <v>8375273.93217773</v>
      </c>
      <c r="H209" s="10" t="n">
        <v>63.595513963161</v>
      </c>
      <c r="I209" s="13" t="str">
        <f>=HYPERLINK("https://ucloud.univie.ac.at/index.php/f/1567854609","Open Cytogram")</f>
      </c>
      <c r="J209" s="2" t="s">
        <v>314</v>
      </c>
      <c r="K209" t="s">
        <v>314</v>
      </c>
      <c r="L209" t="s">
        <v>314</v>
      </c>
      <c r="M209" t="s">
        <v>362</v>
      </c>
    </row>
    <row r="210">
      <c r="A210" s="4" t="s">
        <v>314</v>
      </c>
      <c r="B210" s="5" t="n">
        <v>46203</v>
      </c>
      <c r="C210" s="5" t="n">
        <v>46184</v>
      </c>
      <c r="D210" s="6" t="str">
        <f>IF(OR(C210="",B210=""),"",B210-C210)</f>
      </c>
      <c r="E210" s="7" t="n">
        <v>4717122.01644644</v>
      </c>
      <c r="F210" s="9" t="n">
        <v>20.084982604232</v>
      </c>
      <c r="G210" s="8" t="n">
        <v>17684351.799269</v>
      </c>
      <c r="H210" s="10" t="n">
        <v>75.2980094678606</v>
      </c>
      <c r="I210" s="13" t="str">
        <f>=HYPERLINK("https://ucloud.univie.ac.at/index.php/f/1563062920","Open Cytogram")</f>
      </c>
      <c r="J210" s="2" t="s">
        <v>314</v>
      </c>
      <c r="K210" s="3" t="s">
        <v>314</v>
      </c>
      <c r="L210" s="3" t="s">
        <v>314</v>
      </c>
      <c r="M210" s="3" t="s">
        <v>396</v>
      </c>
    </row>
    <row r="211">
      <c r="A211" s="4" t="s">
        <v>314</v>
      </c>
      <c r="B211" s="5" t="n">
        <v>46209</v>
      </c>
      <c r="C211" s="5" t="n">
        <v>46184</v>
      </c>
      <c r="D211" s="6" t="str">
        <f>IF(OR(C211="",B211=""),"",B211-C211)</f>
      </c>
      <c r="E211" s="7" t="n">
        <v>4588528.03275231</v>
      </c>
      <c r="F211" s="9" t="n">
        <v>18.5207212565219</v>
      </c>
      <c r="G211" s="8" t="n">
        <v>19267665.2235029</v>
      </c>
      <c r="H211" s="10" t="n">
        <v>77.7702684436755</v>
      </c>
      <c r="I211" s="13" t="str">
        <f>=HYPERLINK("https://ucloud.univie.ac.at/index.php/f/1563062920","Open Cytogram")</f>
      </c>
      <c r="J211" s="2" t="s">
        <v>314</v>
      </c>
      <c r="K211" t="s">
        <v>314</v>
      </c>
      <c r="L211" t="s">
        <v>314</v>
      </c>
      <c r="M211" t="s">
        <v>396</v>
      </c>
    </row>
    <row r="212">
      <c r="A212" s="4" t="s">
        <v>314</v>
      </c>
      <c r="B212" s="5" t="n">
        <v>46206</v>
      </c>
      <c r="C212" s="5" t="n">
        <v>46184</v>
      </c>
      <c r="D212" s="6" t="str">
        <f>IF(OR(C212="",B212=""),"",B212-C212)</f>
      </c>
      <c r="E212" s="7" t="n">
        <v>6019805.86168118</v>
      </c>
      <c r="F212" s="9" t="n">
        <v>30.8156478211678</v>
      </c>
      <c r="G212" s="8" t="n">
        <v>12311534.4180489</v>
      </c>
      <c r="H212" s="10" t="n">
        <v>63.0232797339459</v>
      </c>
      <c r="I212" s="13" t="str">
        <f>=HYPERLINK("https://ucloud.univie.ac.at/index.php/f/1563062920","Open Cytogram")</f>
      </c>
      <c r="J212" s="2" t="s">
        <v>314</v>
      </c>
      <c r="K212" s="3" t="s">
        <v>314</v>
      </c>
      <c r="L212" s="3" t="s">
        <v>314</v>
      </c>
      <c r="M212" s="3" t="s">
        <v>396</v>
      </c>
    </row>
    <row r="213">
      <c r="A213" s="4" t="s">
        <v>314</v>
      </c>
      <c r="B213" s="5" t="n">
        <v>46216</v>
      </c>
      <c r="C213" s="5" t="n">
        <v>46184</v>
      </c>
      <c r="D213" s="6" t="str">
        <f>IF(OR(C213="",B213=""),"",B213-C213)</f>
      </c>
      <c r="E213" s="7" t="n">
        <v>7904921.65510408</v>
      </c>
      <c r="F213" s="9" t="n">
        <v>26.3055890210047</v>
      </c>
      <c r="G213" s="8" t="n">
        <v>20892478.1219029</v>
      </c>
      <c r="H213" s="10" t="n">
        <v>69.5249070242523</v>
      </c>
      <c r="I213" s="13" t="str">
        <f>=HYPERLINK("https://ucloud.univie.ac.at/index.php/f/1563062920","Open Cytogram")</f>
      </c>
      <c r="J213" s="2" t="s">
        <v>314</v>
      </c>
      <c r="K213" t="s">
        <v>314</v>
      </c>
      <c r="L213" t="s">
        <v>314</v>
      </c>
      <c r="M213" t="s">
        <v>396</v>
      </c>
    </row>
    <row r="214">
      <c r="A214" s="16" t="s">
        <v>314</v>
      </c>
      <c r="B214" s="17" t="n">
        <v>46227</v>
      </c>
      <c r="C214" s="17" t="n">
        <v>46184</v>
      </c>
      <c r="D214" s="18" t="str">
        <f>IF(OR(C214="",B214=""),"",B214-C214)</f>
      </c>
      <c r="E214" s="19" t="n">
        <v>8153287.94442176</v>
      </c>
      <c r="F214" s="21" t="n">
        <v>27.3919468045807</v>
      </c>
      <c r="G214" s="20" t="n">
        <v>19746387.413159</v>
      </c>
      <c r="H214" s="22" t="n">
        <v>66.3403521733777</v>
      </c>
      <c r="I214" s="23" t="str">
        <f>=HYPERLINK("https://ucloud.univie.ac.at/index.php/f/1563062920","Open Cytogram")</f>
      </c>
      <c r="J214" s="14" t="s">
        <v>314</v>
      </c>
      <c r="K214" s="15" t="s">
        <v>314</v>
      </c>
      <c r="L214" s="15" t="s">
        <v>314</v>
      </c>
      <c r="M214" s="15" t="s">
        <v>396</v>
      </c>
    </row>
    <row r="215">
      <c r="A215" s="16" t="s">
        <v>437</v>
      </c>
      <c r="B215" s="17" t="n">
        <v>46195</v>
      </c>
      <c r="C215" s="17" t="n">
        <v>46184</v>
      </c>
      <c r="D215" s="18" t="str">
        <f>IF(OR(C215="",B215=""),"",B215-C215)</f>
      </c>
      <c r="E215" s="19" t="n">
        <v>4898275.29783263</v>
      </c>
      <c r="F215" s="21" t="n">
        <v>23.3063824574299</v>
      </c>
      <c r="G215" s="20" t="n">
        <v>15177573.1304722</v>
      </c>
      <c r="H215" s="22" t="n">
        <v>72.2160970231533</v>
      </c>
      <c r="I215" s="23" t="str">
        <f>=HYPERLINK("https://ucloud.univie.ac.at/index.php/f/1552579218","Open Cytogram")</f>
      </c>
      <c r="J215" s="14" t="s">
        <v>314</v>
      </c>
      <c r="K215" s="24" t="s">
        <v>314</v>
      </c>
      <c r="L215" s="24" t="s">
        <v>314</v>
      </c>
      <c r="M215" s="24" t="s">
        <v>347</v>
      </c>
    </row>
    <row r="216">
      <c r="A216" s="16" t="s">
        <v>438</v>
      </c>
      <c r="B216" s="17" t="n">
        <v>46195</v>
      </c>
      <c r="C216" s="17" t="n">
        <v>46184</v>
      </c>
      <c r="D216" s="18" t="str">
        <f>IF(OR(C216="",B216=""),"",B216-C216)</f>
      </c>
      <c r="E216" s="19" t="n">
        <v>3527273.1448256</v>
      </c>
      <c r="F216" s="21" t="n">
        <v>16.3733604230781</v>
      </c>
      <c r="G216" s="20" t="n">
        <v>17394348.4426582</v>
      </c>
      <c r="H216" s="22" t="n">
        <v>80.7433744659237</v>
      </c>
      <c r="I216" s="23" t="str">
        <f>=HYPERLINK("https://ucloud.univie.ac.at/index.php/f/1552579218","Open Cytogram")</f>
      </c>
      <c r="J216" s="14" t="s">
        <v>314</v>
      </c>
      <c r="K216" s="15" t="s">
        <v>314</v>
      </c>
      <c r="L216" s="15" t="s">
        <v>314</v>
      </c>
      <c r="M216" s="15" t="s">
        <v>347</v>
      </c>
    </row>
    <row r="217">
      <c r="A217" s="16" t="s">
        <v>439</v>
      </c>
      <c r="B217" s="17" t="n">
        <v>46195</v>
      </c>
      <c r="C217" s="17" t="n">
        <v>46184</v>
      </c>
      <c r="D217" s="18" t="str">
        <f>IF(OR(C217="",B217=""),"",B217-C217)</f>
      </c>
      <c r="E217" s="19" t="n">
        <v>3021354.04047653</v>
      </c>
      <c r="F217" s="21" t="n">
        <v>14.437302002276</v>
      </c>
      <c r="G217" s="20" t="n">
        <v>17469013.3486436</v>
      </c>
      <c r="H217" s="22" t="n">
        <v>83.4743025866576</v>
      </c>
      <c r="I217" s="23" t="str">
        <f>=HYPERLINK("https://ucloud.univie.ac.at/index.php/f/1552579218","Open Cytogram")</f>
      </c>
      <c r="J217" s="14" t="s">
        <v>314</v>
      </c>
      <c r="K217" s="24" t="s">
        <v>314</v>
      </c>
      <c r="L217" s="24" t="s">
        <v>314</v>
      </c>
      <c r="M217" s="24" t="s">
        <v>347</v>
      </c>
    </row>
    <row r="218">
      <c r="A218" s="4" t="s">
        <v>440</v>
      </c>
      <c r="B218" s="5" t="n">
        <v>46184</v>
      </c>
      <c r="C218" s="5" t="n">
        <v>46184</v>
      </c>
      <c r="D218" s="6" t="str">
        <f>IF(OR(C218="",B218=""),"",B218-C218)</f>
      </c>
      <c r="E218" s="7" t="n">
        <v>1037793.53423628</v>
      </c>
      <c r="F218" s="9" t="n">
        <v>36.0776592334814</v>
      </c>
      <c r="G218" s="8" t="n">
        <v>1426356.92121394</v>
      </c>
      <c r="H218" s="10" t="n">
        <v>49.5856037364348</v>
      </c>
      <c r="I218" s="13" t="str">
        <f>=HYPERLINK("https://ucloud.univie.ac.at/index.php/f/1525440401","Open Cytogram")</f>
      </c>
      <c r="J218" s="2" t="s">
        <v>314</v>
      </c>
      <c r="K218" s="3" t="s">
        <v>314</v>
      </c>
      <c r="L218" s="3" t="s">
        <v>314</v>
      </c>
      <c r="M218" s="3" t="s">
        <v>333</v>
      </c>
    </row>
    <row r="219">
      <c r="A219" s="4" t="s">
        <v>314</v>
      </c>
      <c r="B219" s="5" t="n">
        <v>46191</v>
      </c>
      <c r="C219" s="5" t="n">
        <v>46184</v>
      </c>
      <c r="D219" s="6" t="str">
        <f>IF(OR(C219="",B219=""),"",B219-C219)</f>
      </c>
      <c r="E219" s="7" t="n">
        <v>4864635.30242674</v>
      </c>
      <c r="F219" s="9" t="n">
        <v>25.828308572139</v>
      </c>
      <c r="G219" s="8" t="n">
        <v>10912354.5935664</v>
      </c>
      <c r="H219" s="10" t="n">
        <v>57.9380866538199</v>
      </c>
      <c r="I219" s="13" t="str">
        <f>=HYPERLINK("https://ucloud.univie.ac.at/index.php/f/1527059776","Open Cytogram")</f>
      </c>
      <c r="J219" s="2" t="s">
        <v>314</v>
      </c>
      <c r="K219" t="s">
        <v>314</v>
      </c>
      <c r="L219" t="s">
        <v>314</v>
      </c>
      <c r="M219" t="s">
        <v>341</v>
      </c>
    </row>
    <row r="220">
      <c r="A220" s="4" t="s">
        <v>314</v>
      </c>
      <c r="B220" s="5" t="n">
        <v>46196</v>
      </c>
      <c r="C220" s="5" t="n">
        <v>46184</v>
      </c>
      <c r="D220" s="6" t="str">
        <f>IF(OR(C220="",B220=""),"",B220-C220)</f>
      </c>
      <c r="E220" s="7" t="n">
        <v>4956974.39678284</v>
      </c>
      <c r="F220" s="9" t="n">
        <v>21.4612418163881</v>
      </c>
      <c r="G220" s="8" t="n">
        <v>17333874.5308311</v>
      </c>
      <c r="H220" s="10" t="n">
        <v>75.0470837942064</v>
      </c>
      <c r="I220" s="13" t="str">
        <f>=HYPERLINK("https://ucloud.univie.ac.at/index.php/f/1556102548","Open Cytogram")</f>
      </c>
      <c r="J220" s="2" t="s">
        <v>314</v>
      </c>
      <c r="K220" s="3" t="s">
        <v>314</v>
      </c>
      <c r="L220" s="3" t="s">
        <v>314</v>
      </c>
      <c r="M220" s="3" t="s">
        <v>390</v>
      </c>
    </row>
    <row r="221">
      <c r="A221" s="4" t="s">
        <v>314</v>
      </c>
      <c r="B221" s="5" t="n">
        <v>46197</v>
      </c>
      <c r="C221" s="5" t="n">
        <v>46184</v>
      </c>
      <c r="D221" s="6" t="str">
        <f>IF(OR(C221="",B221=""),"",B221-C221)</f>
      </c>
      <c r="E221" s="7" t="n">
        <v>3712034.31635389</v>
      </c>
      <c r="F221" s="9" t="n">
        <v>15.7082748948107</v>
      </c>
      <c r="G221" s="8" t="n">
        <v>19133962.6005362</v>
      </c>
      <c r="H221" s="10" t="n">
        <v>80.9694950911641</v>
      </c>
      <c r="I221" s="13" t="str">
        <f>=HYPERLINK("https://ucloud.univie.ac.at/index.php/f/1556102548","Open Cytogram")</f>
      </c>
      <c r="J221" s="2" t="s">
        <v>314</v>
      </c>
      <c r="K221" t="s">
        <v>314</v>
      </c>
      <c r="L221" t="s">
        <v>314</v>
      </c>
      <c r="M221" t="s">
        <v>390</v>
      </c>
    </row>
    <row r="222">
      <c r="A222" s="4" t="s">
        <v>314</v>
      </c>
      <c r="B222" s="5" t="n">
        <v>46199</v>
      </c>
      <c r="C222" s="5" t="n">
        <v>46184</v>
      </c>
      <c r="D222" s="6" t="str">
        <f>IF(OR(C222="",B222=""),"",B222-C222)</f>
      </c>
      <c r="E222" s="7" t="n">
        <v>3504392.91776227</v>
      </c>
      <c r="F222" s="9" t="n">
        <v>14.4429603245276</v>
      </c>
      <c r="G222" s="8" t="n">
        <v>20110498.0113681</v>
      </c>
      <c r="H222" s="10" t="n">
        <v>82.8831502918769</v>
      </c>
      <c r="I222" s="13" t="str">
        <f>=HYPERLINK("https://ucloud.univie.ac.at/index.php/f/1567854609","Open Cytogram")</f>
      </c>
      <c r="J222" s="2" t="s">
        <v>314</v>
      </c>
      <c r="K222" s="3" t="s">
        <v>314</v>
      </c>
      <c r="L222" s="3" t="s">
        <v>314</v>
      </c>
      <c r="M222" s="3" t="s">
        <v>362</v>
      </c>
    </row>
    <row r="223">
      <c r="A223" s="4" t="s">
        <v>314</v>
      </c>
      <c r="B223" s="5" t="n">
        <v>46203</v>
      </c>
      <c r="C223" s="5" t="n">
        <v>46184</v>
      </c>
      <c r="D223" s="6" t="str">
        <f>IF(OR(C223="",B223=""),"",B223-C223)</f>
      </c>
      <c r="E223" s="7" t="n">
        <v>4847055.52080404</v>
      </c>
      <c r="F223" s="9" t="n">
        <v>23.0082024543778</v>
      </c>
      <c r="G223" s="8" t="n">
        <v>14476199.8102333</v>
      </c>
      <c r="H223" s="10" t="n">
        <v>68.7162205124944</v>
      </c>
      <c r="I223" s="13" t="str">
        <f>=HYPERLINK("https://ucloud.univie.ac.at/index.php/f/1563062920","Open Cytogram")</f>
      </c>
      <c r="J223" s="2" t="s">
        <v>314</v>
      </c>
      <c r="K223" t="s">
        <v>314</v>
      </c>
      <c r="L223" t="s">
        <v>314</v>
      </c>
      <c r="M223" t="s">
        <v>396</v>
      </c>
    </row>
    <row r="224">
      <c r="A224" s="4" t="s">
        <v>314</v>
      </c>
      <c r="B224" s="5" t="n">
        <v>46209</v>
      </c>
      <c r="C224" s="5" t="n">
        <v>46184</v>
      </c>
      <c r="D224" s="6" t="str">
        <f>IF(OR(C224="",B224=""),"",B224-C224)</f>
      </c>
      <c r="E224" s="7" t="n">
        <v>4802851.33890918</v>
      </c>
      <c r="F224" s="9" t="n">
        <v>19.0055922186001</v>
      </c>
      <c r="G224" s="8" t="n">
        <v>19377505.9179083</v>
      </c>
      <c r="H224" s="10" t="n">
        <v>76.6796533354536</v>
      </c>
      <c r="I224" s="13" t="str">
        <f>=HYPERLINK("https://ucloud.univie.ac.at/index.php/f/1563062920","Open Cytogram")</f>
      </c>
      <c r="J224" s="2" t="s">
        <v>314</v>
      </c>
      <c r="K224" s="3" t="s">
        <v>314</v>
      </c>
      <c r="L224" s="3" t="s">
        <v>314</v>
      </c>
      <c r="M224" s="3" t="s">
        <v>396</v>
      </c>
    </row>
    <row r="225">
      <c r="A225" s="4" t="s">
        <v>314</v>
      </c>
      <c r="B225" s="5" t="n">
        <v>46206</v>
      </c>
      <c r="C225" s="5" t="n">
        <v>46184</v>
      </c>
      <c r="D225" s="6" t="str">
        <f>IF(OR(C225="",B225=""),"",B225-C225)</f>
      </c>
      <c r="E225" s="7" t="n">
        <v>5415682.0424515</v>
      </c>
      <c r="F225" s="9" t="n">
        <v>29.9359520195476</v>
      </c>
      <c r="G225" s="8" t="n">
        <v>11453571.4330897</v>
      </c>
      <c r="H225" s="10" t="n">
        <v>63.3112435674355</v>
      </c>
      <c r="I225" s="13" t="str">
        <f>=HYPERLINK("https://ucloud.univie.ac.at/index.php/f/1563062920","Open Cytogram")</f>
      </c>
      <c r="J225" s="2" t="s">
        <v>314</v>
      </c>
      <c r="K225" t="s">
        <v>314</v>
      </c>
      <c r="L225" t="s">
        <v>314</v>
      </c>
      <c r="M225" t="s">
        <v>396</v>
      </c>
    </row>
    <row r="226">
      <c r="A226" s="4" t="s">
        <v>314</v>
      </c>
      <c r="B226" s="5" t="n">
        <v>46216</v>
      </c>
      <c r="C226" s="5" t="n">
        <v>46184</v>
      </c>
      <c r="D226" s="6" t="str">
        <f>IF(OR(C226="",B226=""),"",B226-C226)</f>
      </c>
      <c r="E226" s="7" t="n">
        <v>6069608.82713528</v>
      </c>
      <c r="F226" s="9" t="n">
        <v>18.6397276078453</v>
      </c>
      <c r="G226" s="8" t="n">
        <v>25676717.7768697</v>
      </c>
      <c r="H226" s="10" t="n">
        <v>78.8530264231646</v>
      </c>
      <c r="I226" s="13" t="str">
        <f>=HYPERLINK("https://ucloud.univie.ac.at/index.php/f/1563062920","Open Cytogram")</f>
      </c>
      <c r="J226" s="2" t="s">
        <v>314</v>
      </c>
      <c r="K226" s="3" t="s">
        <v>314</v>
      </c>
      <c r="L226" s="3" t="s">
        <v>314</v>
      </c>
      <c r="M226" s="3" t="s">
        <v>396</v>
      </c>
    </row>
    <row r="227">
      <c r="A227" s="16" t="s">
        <v>314</v>
      </c>
      <c r="B227" s="17" t="n">
        <v>46227</v>
      </c>
      <c r="C227" s="17" t="n">
        <v>46184</v>
      </c>
      <c r="D227" s="18" t="str">
        <f>IF(OR(C227="",B227=""),"",B227-C227)</f>
      </c>
      <c r="E227" s="19" t="n">
        <v>5359471.9248059</v>
      </c>
      <c r="F227" s="21" t="n">
        <v>21.2197068640255</v>
      </c>
      <c r="G227" s="20" t="n">
        <v>18499295.3821006</v>
      </c>
      <c r="H227" s="22" t="n">
        <v>73.2440864896242</v>
      </c>
      <c r="I227" s="23" t="str">
        <f>=HYPERLINK("https://ucloud.univie.ac.at/index.php/f/1563062920","Open Cytogram")</f>
      </c>
      <c r="J227" s="14" t="s">
        <v>314</v>
      </c>
      <c r="K227" s="24" t="s">
        <v>314</v>
      </c>
      <c r="L227" s="24" t="s">
        <v>314</v>
      </c>
      <c r="M227" s="24" t="s">
        <v>396</v>
      </c>
    </row>
    <row r="228">
      <c r="A228" s="16" t="s">
        <v>441</v>
      </c>
      <c r="B228" s="17" t="n">
        <v>46195</v>
      </c>
      <c r="C228" s="17" t="n">
        <v>46184</v>
      </c>
      <c r="D228" s="18" t="str">
        <f>IF(OR(C228="",B228=""),"",B228-C228)</f>
      </c>
      <c r="E228" s="19" t="n">
        <v>4052502.13865364</v>
      </c>
      <c r="F228" s="21" t="n">
        <v>21.3669992533768</v>
      </c>
      <c r="G228" s="20" t="n">
        <v>14165734.9217741</v>
      </c>
      <c r="H228" s="22" t="n">
        <v>74.6894726125026</v>
      </c>
      <c r="I228" s="23" t="str">
        <f>=HYPERLINK("https://ucloud.univie.ac.at/index.php/f/1552579218","Open Cytogram")</f>
      </c>
      <c r="J228" s="14" t="s">
        <v>314</v>
      </c>
      <c r="K228" s="15" t="s">
        <v>314</v>
      </c>
      <c r="L228" s="15" t="s">
        <v>314</v>
      </c>
      <c r="M228" s="15" t="s">
        <v>347</v>
      </c>
    </row>
    <row r="229">
      <c r="A229" s="16" t="s">
        <v>442</v>
      </c>
      <c r="B229" s="17" t="n">
        <v>46195</v>
      </c>
      <c r="C229" s="17" t="n">
        <v>46184</v>
      </c>
      <c r="D229" s="18" t="str">
        <f>IF(OR(C229="",B229=""),"",B229-C229)</f>
      </c>
      <c r="E229" s="19" t="n">
        <v>4506928.20439213</v>
      </c>
      <c r="F229" s="21" t="n">
        <v>18.8074133763094</v>
      </c>
      <c r="G229" s="20" t="n">
        <v>18109458.0163628</v>
      </c>
      <c r="H229" s="22" t="n">
        <v>75.5707762557078</v>
      </c>
      <c r="I229" s="23" t="str">
        <f>=HYPERLINK("https://ucloud.univie.ac.at/index.php/f/1552579218","Open Cytogram")</f>
      </c>
      <c r="J229" s="14" t="s">
        <v>314</v>
      </c>
      <c r="K229" s="24" t="s">
        <v>314</v>
      </c>
      <c r="L229" s="24" t="s">
        <v>314</v>
      </c>
      <c r="M229" s="24" t="s">
        <v>347</v>
      </c>
    </row>
    <row r="230">
      <c r="A230" s="16" t="s">
        <v>443</v>
      </c>
      <c r="B230" s="17" t="n">
        <v>46195</v>
      </c>
      <c r="C230" s="17" t="n">
        <v>46184</v>
      </c>
      <c r="D230" s="18" t="str">
        <f>IF(OR(C230="",B230=""),"",B230-C230)</f>
      </c>
      <c r="E230" s="19" t="n">
        <v>3321944.65336586</v>
      </c>
      <c r="F230" s="21" t="n">
        <v>14.9071372866179</v>
      </c>
      <c r="G230" s="20" t="n">
        <v>18393957.0546863</v>
      </c>
      <c r="H230" s="22" t="n">
        <v>82.5423875682389</v>
      </c>
      <c r="I230" s="23" t="str">
        <f>=HYPERLINK("https://ucloud.univie.ac.at/index.php/f/1552579218","Open Cytogram")</f>
      </c>
      <c r="J230" s="14" t="s">
        <v>314</v>
      </c>
      <c r="K230" s="15" t="s">
        <v>314</v>
      </c>
      <c r="L230" s="15" t="s">
        <v>314</v>
      </c>
      <c r="M230" s="15" t="s">
        <v>347</v>
      </c>
    </row>
    <row r="231">
      <c r="A231" s="4" t="s">
        <v>444</v>
      </c>
      <c r="B231" s="5" t="n">
        <v>46184</v>
      </c>
      <c r="C231" s="5" t="n">
        <v>46184</v>
      </c>
      <c r="D231" s="6" t="str">
        <f>IF(OR(C231="",B231=""),"",B231-C231)</f>
      </c>
      <c r="E231" s="7" t="n">
        <v>1089162.93115875</v>
      </c>
      <c r="F231" s="9" t="n">
        <v>30.7935798607232</v>
      </c>
      <c r="G231" s="8" t="n">
        <v>2055171.02610593</v>
      </c>
      <c r="H231" s="10" t="n">
        <v>58.1052396380293</v>
      </c>
      <c r="I231" s="13" t="str">
        <f>=HYPERLINK("https://ucloud.univie.ac.at/index.php/f/1525440401","Open Cytogram")</f>
      </c>
      <c r="J231" s="2" t="s">
        <v>314</v>
      </c>
      <c r="K231" t="s">
        <v>314</v>
      </c>
      <c r="L231" t="s">
        <v>314</v>
      </c>
      <c r="M231" t="s">
        <v>333</v>
      </c>
    </row>
    <row r="232">
      <c r="A232" s="4" t="s">
        <v>314</v>
      </c>
      <c r="B232" s="5" t="n">
        <v>46191</v>
      </c>
      <c r="C232" s="5" t="n">
        <v>46184</v>
      </c>
      <c r="D232" s="6" t="str">
        <f>IF(OR(C232="",B232=""),"",B232-C232)</f>
      </c>
      <c r="E232" s="7" t="n">
        <v>5349928.04198291</v>
      </c>
      <c r="F232" s="9" t="n">
        <v>34.5506786132849</v>
      </c>
      <c r="G232" s="8" t="n">
        <v>6462764.58950556</v>
      </c>
      <c r="H232" s="10" t="n">
        <v>41.7375524554837</v>
      </c>
      <c r="I232" s="13" t="str">
        <f>=HYPERLINK("https://ucloud.univie.ac.at/index.php/f/1527059776","Open Cytogram")</f>
      </c>
      <c r="J232" s="2" t="s">
        <v>314</v>
      </c>
      <c r="K232" s="3" t="s">
        <v>314</v>
      </c>
      <c r="L232" s="3" t="s">
        <v>314</v>
      </c>
      <c r="M232" s="3" t="s">
        <v>341</v>
      </c>
    </row>
    <row r="233">
      <c r="A233" s="4" t="s">
        <v>314</v>
      </c>
      <c r="B233" s="5" t="n">
        <v>46196</v>
      </c>
      <c r="C233" s="5" t="n">
        <v>46184</v>
      </c>
      <c r="D233" s="6" t="str">
        <f>IF(OR(C233="",B233=""),"",B233-C233)</f>
      </c>
      <c r="E233" s="7" t="n">
        <v>6164628.41823056</v>
      </c>
      <c r="F233" s="9" t="n">
        <v>23.6722789341111</v>
      </c>
      <c r="G233" s="8" t="n">
        <v>18758340.080429</v>
      </c>
      <c r="H233" s="10" t="n">
        <v>72.0323478721994</v>
      </c>
      <c r="I233" s="13" t="str">
        <f>=HYPERLINK("https://ucloud.univie.ac.at/index.php/f/1556102548","Open Cytogram")</f>
      </c>
      <c r="J233" s="2" t="s">
        <v>314</v>
      </c>
      <c r="K233" t="s">
        <v>314</v>
      </c>
      <c r="L233" t="s">
        <v>314</v>
      </c>
      <c r="M233" t="s">
        <v>390</v>
      </c>
    </row>
    <row r="234">
      <c r="A234" s="4" t="s">
        <v>314</v>
      </c>
      <c r="B234" s="5" t="n">
        <v>46197</v>
      </c>
      <c r="C234" s="5" t="n">
        <v>46184</v>
      </c>
      <c r="D234" s="6" t="str">
        <f>IF(OR(C234="",B234=""),"",B234-C234)</f>
      </c>
      <c r="E234" s="7" t="n">
        <v>5188976.54155496</v>
      </c>
      <c r="F234" s="9" t="n">
        <v>19.4366852886406</v>
      </c>
      <c r="G234" s="8" t="n">
        <v>20565332.9758713</v>
      </c>
      <c r="H234" s="10" t="n">
        <v>77.0328988206083</v>
      </c>
      <c r="I234" s="13" t="str">
        <f>=HYPERLINK("https://ucloud.univie.ac.at/index.php/f/1556102548","Open Cytogram")</f>
      </c>
      <c r="J234" s="2" t="s">
        <v>314</v>
      </c>
      <c r="K234" s="3" t="s">
        <v>314</v>
      </c>
      <c r="L234" s="3" t="s">
        <v>314</v>
      </c>
      <c r="M234" s="3" t="s">
        <v>390</v>
      </c>
    </row>
    <row r="235">
      <c r="A235" s="4" t="s">
        <v>314</v>
      </c>
      <c r="B235" s="5" t="n">
        <v>46199</v>
      </c>
      <c r="C235" s="5" t="n">
        <v>46184</v>
      </c>
      <c r="D235" s="6" t="str">
        <f>IF(OR(C235="",B235=""),"",B235-C235)</f>
      </c>
      <c r="E235" s="7" t="n">
        <v>4350632.68725102</v>
      </c>
      <c r="F235" s="9" t="n">
        <v>18.358405510814</v>
      </c>
      <c r="G235" s="8" t="n">
        <v>18626277.4794917</v>
      </c>
      <c r="H235" s="10" t="n">
        <v>78.5974775869929</v>
      </c>
      <c r="I235" s="13" t="str">
        <f>=HYPERLINK("https://ucloud.univie.ac.at/index.php/f/1567854609","Open Cytogram")</f>
      </c>
      <c r="J235" s="2" t="s">
        <v>314</v>
      </c>
      <c r="K235" t="s">
        <v>314</v>
      </c>
      <c r="L235" t="s">
        <v>314</v>
      </c>
      <c r="M235" t="s">
        <v>362</v>
      </c>
    </row>
    <row r="236">
      <c r="A236" s="4" t="s">
        <v>314</v>
      </c>
      <c r="B236" s="5" t="n">
        <v>46203</v>
      </c>
      <c r="C236" s="5" t="n">
        <v>46184</v>
      </c>
      <c r="D236" s="6" t="str">
        <f>IF(OR(C236="",B236=""),"",B236-C236)</f>
      </c>
      <c r="E236" s="7" t="n">
        <v>5219442.26525161</v>
      </c>
      <c r="F236" s="9" t="n">
        <v>22.9780333185906</v>
      </c>
      <c r="G236" s="8" t="n">
        <v>16450653.2682035</v>
      </c>
      <c r="H236" s="10" t="n">
        <v>72.422232050715</v>
      </c>
      <c r="I236" s="13" t="str">
        <f>=HYPERLINK("https://ucloud.univie.ac.at/index.php/f/1563062920","Open Cytogram")</f>
      </c>
      <c r="J236" s="2" t="s">
        <v>314</v>
      </c>
      <c r="K236" s="3" t="s">
        <v>314</v>
      </c>
      <c r="L236" s="3" t="s">
        <v>314</v>
      </c>
      <c r="M236" s="3" t="s">
        <v>396</v>
      </c>
    </row>
    <row r="237">
      <c r="A237" s="4" t="s">
        <v>314</v>
      </c>
      <c r="B237" s="5" t="n">
        <v>46209</v>
      </c>
      <c r="C237" s="5" t="n">
        <v>46184</v>
      </c>
      <c r="D237" s="6" t="str">
        <f>IF(OR(C237="",B237=""),"",B237-C237)</f>
      </c>
      <c r="E237" s="7" t="n">
        <v>4609290.60303626</v>
      </c>
      <c r="F237" s="9" t="n">
        <v>22.2668004012036</v>
      </c>
      <c r="G237" s="8" t="n">
        <v>15194182.8858588</v>
      </c>
      <c r="H237" s="10" t="n">
        <v>73.4008477044035</v>
      </c>
      <c r="I237" s="13" t="str">
        <f>=HYPERLINK("https://ucloud.univie.ac.at/index.php/f/1563062920","Open Cytogram")</f>
      </c>
      <c r="J237" s="2" t="s">
        <v>314</v>
      </c>
      <c r="K237" t="s">
        <v>314</v>
      </c>
      <c r="L237" t="s">
        <v>314</v>
      </c>
      <c r="M237" t="s">
        <v>396</v>
      </c>
    </row>
    <row r="238">
      <c r="A238" s="4" t="s">
        <v>314</v>
      </c>
      <c r="B238" s="5" t="n">
        <v>46206</v>
      </c>
      <c r="C238" s="5" t="n">
        <v>46184</v>
      </c>
      <c r="D238" s="6" t="str">
        <f>IF(OR(C238="",B238=""),"",B238-C238)</f>
      </c>
      <c r="E238" s="7" t="n">
        <v>5376835.94321056</v>
      </c>
      <c r="F238" s="9" t="n">
        <v>31.430584918957</v>
      </c>
      <c r="G238" s="8" t="n">
        <v>10617040.7787461</v>
      </c>
      <c r="H238" s="10" t="n">
        <v>62.0624853182993</v>
      </c>
      <c r="I238" s="13" t="str">
        <f>=HYPERLINK("https://ucloud.univie.ac.at/index.php/f/1563062920","Open Cytogram")</f>
      </c>
      <c r="J238" s="2" t="s">
        <v>314</v>
      </c>
      <c r="K238" s="3" t="s">
        <v>314</v>
      </c>
      <c r="L238" s="3" t="s">
        <v>314</v>
      </c>
      <c r="M238" s="3" t="s">
        <v>396</v>
      </c>
    </row>
    <row r="239">
      <c r="A239" s="4" t="s">
        <v>314</v>
      </c>
      <c r="B239" s="5" t="n">
        <v>46216</v>
      </c>
      <c r="C239" s="5" t="n">
        <v>46184</v>
      </c>
      <c r="D239" s="6" t="str">
        <f>IF(OR(C239="",B239=""),"",B239-C239)</f>
      </c>
      <c r="E239" s="7" t="n">
        <v>7566852.30894975</v>
      </c>
      <c r="F239" s="9" t="n">
        <v>21.8894131368287</v>
      </c>
      <c r="G239" s="8" t="n">
        <v>25877388.7208828</v>
      </c>
      <c r="H239" s="10" t="n">
        <v>74.8581879870646</v>
      </c>
      <c r="I239" s="13" t="str">
        <f>=HYPERLINK("https://ucloud.univie.ac.at/index.php/f/1563062920","Open Cytogram")</f>
      </c>
      <c r="J239" s="2" t="s">
        <v>314</v>
      </c>
      <c r="K239" t="s">
        <v>314</v>
      </c>
      <c r="L239" t="s">
        <v>314</v>
      </c>
      <c r="M239" t="s">
        <v>396</v>
      </c>
    </row>
    <row r="240">
      <c r="A240" s="16" t="s">
        <v>314</v>
      </c>
      <c r="B240" s="17" t="n">
        <v>46227</v>
      </c>
      <c r="C240" s="17" t="n">
        <v>46184</v>
      </c>
      <c r="D240" s="18" t="str">
        <f>IF(OR(C240="",B240=""),"",B240-C240)</f>
      </c>
      <c r="E240" s="19" t="n">
        <v>7726289.4973437</v>
      </c>
      <c r="F240" s="21" t="n">
        <v>22.2251509001292</v>
      </c>
      <c r="G240" s="20" t="n">
        <v>24818139.3543115</v>
      </c>
      <c r="H240" s="22" t="n">
        <v>71.3909169983394</v>
      </c>
      <c r="I240" s="23" t="str">
        <f>=HYPERLINK("https://ucloud.univie.ac.at/index.php/f/1563062920","Open Cytogram")</f>
      </c>
      <c r="J240" s="14" t="s">
        <v>314</v>
      </c>
      <c r="K240" s="15" t="s">
        <v>314</v>
      </c>
      <c r="L240" s="15" t="s">
        <v>314</v>
      </c>
      <c r="M240" s="15" t="s">
        <v>396</v>
      </c>
    </row>
    <row r="241">
      <c r="A241" s="16" t="s">
        <v>445</v>
      </c>
      <c r="B241" s="17" t="n">
        <v>46195</v>
      </c>
      <c r="C241" s="17" t="n">
        <v>46184</v>
      </c>
      <c r="D241" s="18" t="str">
        <f>IF(OR(C241="",B241=""),"",B241-C241)</f>
      </c>
      <c r="E241" s="19" t="n">
        <v>4667200.28706759</v>
      </c>
      <c r="F241" s="21" t="n">
        <v>22.0535904376654</v>
      </c>
      <c r="G241" s="20" t="n">
        <v>15543817.36759</v>
      </c>
      <c r="H241" s="22" t="n">
        <v>73.4480975698774</v>
      </c>
      <c r="I241" s="23" t="str">
        <f>=HYPERLINK("https://ucloud.univie.ac.at/index.php/f/1552579218","Open Cytogram")</f>
      </c>
      <c r="J241" s="14" t="s">
        <v>314</v>
      </c>
      <c r="K241" s="24" t="s">
        <v>314</v>
      </c>
      <c r="L241" s="24" t="s">
        <v>314</v>
      </c>
      <c r="M241" s="24" t="s">
        <v>347</v>
      </c>
    </row>
    <row r="242">
      <c r="A242" s="16" t="s">
        <v>446</v>
      </c>
      <c r="B242" s="17" t="n">
        <v>46195</v>
      </c>
      <c r="C242" s="17" t="n">
        <v>46184</v>
      </c>
      <c r="D242" s="18" t="str">
        <f>IF(OR(C242="",B242=""),"",B242-C242)</f>
      </c>
      <c r="E242" s="19" t="n">
        <v>5218819.46318357</v>
      </c>
      <c r="F242" s="21" t="n">
        <v>21.2123590508333</v>
      </c>
      <c r="G242" s="20" t="n">
        <v>18555516.4633271</v>
      </c>
      <c r="H242" s="22" t="n">
        <v>75.4205583025927</v>
      </c>
      <c r="I242" s="23" t="str">
        <f>=HYPERLINK("https://ucloud.univie.ac.at/index.php/f/1552579218","Open Cytogram")</f>
      </c>
      <c r="J242" s="14" t="s">
        <v>314</v>
      </c>
      <c r="K242" s="15" t="s">
        <v>314</v>
      </c>
      <c r="L242" s="15" t="s">
        <v>314</v>
      </c>
      <c r="M242" s="15" t="s">
        <v>347</v>
      </c>
    </row>
    <row r="243">
      <c r="A243" s="16" t="s">
        <v>447</v>
      </c>
      <c r="B243" s="17" t="n">
        <v>46195</v>
      </c>
      <c r="C243" s="17" t="n">
        <v>46184</v>
      </c>
      <c r="D243" s="18" t="str">
        <f>IF(OR(C243="",B243=""),"",B243-C243)</f>
      </c>
      <c r="E243" s="19" t="n">
        <v>3422356.07865652</v>
      </c>
      <c r="F243" s="21" t="n">
        <v>17.9683011726538</v>
      </c>
      <c r="G243" s="20" t="n">
        <v>15057208.1527199</v>
      </c>
      <c r="H243" s="22" t="n">
        <v>79.0544422290561</v>
      </c>
      <c r="I243" s="23" t="str">
        <f>=HYPERLINK("https://ucloud.univie.ac.at/index.php/f/1552579218","Open Cytogram")</f>
      </c>
      <c r="J243" s="14" t="s">
        <v>314</v>
      </c>
      <c r="K243" s="24" t="s">
        <v>314</v>
      </c>
      <c r="L243" s="24" t="s">
        <v>314</v>
      </c>
      <c r="M243" s="24" t="s">
        <v>347</v>
      </c>
    </row>
    <row r="244">
      <c r="A244" s="4" t="s">
        <v>448</v>
      </c>
      <c r="B244" s="5" t="n">
        <v>46184</v>
      </c>
      <c r="C244" s="5" t="n">
        <v>46184</v>
      </c>
      <c r="D244" s="6" t="str">
        <f>IF(OR(C244="",B244=""),"",B244-C244)</f>
      </c>
      <c r="E244" s="7" t="n">
        <v>941640.5605096</v>
      </c>
      <c r="F244" s="9" t="n">
        <v>33.9765220284207</v>
      </c>
      <c r="G244" s="8" t="n">
        <v>1436630.80059843</v>
      </c>
      <c r="H244" s="10" t="n">
        <v>51.8368898816596</v>
      </c>
      <c r="I244" s="13" t="str">
        <f>=HYPERLINK("https://ucloud.univie.ac.at/index.php/f/1525440401","Open Cytogram")</f>
      </c>
      <c r="J244" s="2" t="s">
        <v>314</v>
      </c>
      <c r="K244" s="3" t="s">
        <v>314</v>
      </c>
      <c r="L244" s="3" t="s">
        <v>314</v>
      </c>
      <c r="M244" s="3" t="s">
        <v>333</v>
      </c>
    </row>
    <row r="245">
      <c r="A245" s="4" t="s">
        <v>314</v>
      </c>
      <c r="B245" s="5" t="n">
        <v>46191</v>
      </c>
      <c r="C245" s="5" t="n">
        <v>46184</v>
      </c>
      <c r="D245" s="6" t="str">
        <f>IF(OR(C245="",B245=""),"",B245-C245)</f>
      </c>
      <c r="E245" s="7" t="n">
        <v>4032050.64149354</v>
      </c>
      <c r="F245" s="9" t="n">
        <v>21.092525501683</v>
      </c>
      <c r="G245" s="8" t="n">
        <v>12079451.9949142</v>
      </c>
      <c r="H245" s="10" t="n">
        <v>63.1902155759398</v>
      </c>
      <c r="I245" s="13" t="str">
        <f>=HYPERLINK("https://ucloud.univie.ac.at/index.php/f/1527059776","Open Cytogram")</f>
      </c>
      <c r="J245" s="2" t="s">
        <v>314</v>
      </c>
      <c r="K245" t="s">
        <v>314</v>
      </c>
      <c r="L245" t="s">
        <v>314</v>
      </c>
      <c r="M245" t="s">
        <v>341</v>
      </c>
    </row>
    <row r="246">
      <c r="A246" s="4" t="s">
        <v>314</v>
      </c>
      <c r="B246" s="5" t="n">
        <v>46196</v>
      </c>
      <c r="C246" s="5" t="n">
        <v>46184</v>
      </c>
      <c r="D246" s="6" t="str">
        <f>IF(OR(C246="",B246=""),"",B246-C246)</f>
      </c>
      <c r="E246" s="7" t="n">
        <v>5444037.69688948</v>
      </c>
      <c r="F246" s="9" t="n">
        <v>29.9190647482014</v>
      </c>
      <c r="G246" s="8" t="n">
        <v>11217521.2177366</v>
      </c>
      <c r="H246" s="10" t="n">
        <v>61.6486810551559</v>
      </c>
      <c r="I246" s="13" t="str">
        <f>=HYPERLINK("https://ucloud.univie.ac.at/index.php/f/1556102548","Open Cytogram")</f>
      </c>
      <c r="J246" s="2" t="s">
        <v>314</v>
      </c>
      <c r="K246" s="3" t="s">
        <v>314</v>
      </c>
      <c r="L246" s="3" t="s">
        <v>314</v>
      </c>
      <c r="M246" s="3" t="s">
        <v>390</v>
      </c>
    </row>
    <row r="247">
      <c r="A247" s="4" t="s">
        <v>314</v>
      </c>
      <c r="B247" s="5" t="n">
        <v>46197</v>
      </c>
      <c r="C247" s="5" t="n">
        <v>46184</v>
      </c>
      <c r="D247" s="6" t="str">
        <f>IF(OR(C247="",B247=""),"",B247-C247)</f>
      </c>
      <c r="E247" s="7" t="n">
        <v>4457065.01340483</v>
      </c>
      <c r="F247" s="9" t="n">
        <v>24.0993093149151</v>
      </c>
      <c r="G247" s="8" t="n">
        <v>12896833.5120643</v>
      </c>
      <c r="H247" s="10" t="n">
        <v>69.7330595482546</v>
      </c>
      <c r="I247" s="13" t="str">
        <f>=HYPERLINK("https://ucloud.univie.ac.at/index.php/f/1556102548","Open Cytogram")</f>
      </c>
      <c r="J247" s="2" t="s">
        <v>314</v>
      </c>
      <c r="K247" t="s">
        <v>314</v>
      </c>
      <c r="L247" t="s">
        <v>314</v>
      </c>
      <c r="M247" t="s">
        <v>390</v>
      </c>
    </row>
    <row r="248">
      <c r="A248" s="4" t="s">
        <v>314</v>
      </c>
      <c r="B248" s="5" t="n">
        <v>46199</v>
      </c>
      <c r="C248" s="5" t="n">
        <v>46184</v>
      </c>
      <c r="D248" s="6" t="str">
        <f>IF(OR(C248="",B248=""),"",B248-C248)</f>
      </c>
      <c r="E248" s="7" t="n">
        <v>4237200.54793657</v>
      </c>
      <c r="F248" s="9" t="n">
        <v>22.3029537197915</v>
      </c>
      <c r="G248" s="8" t="n">
        <v>13910741.4022768</v>
      </c>
      <c r="H248" s="10" t="n">
        <v>73.2206602432475</v>
      </c>
      <c r="I248" s="13" t="str">
        <f>=HYPERLINK("https://ucloud.univie.ac.at/index.php/f/1567854609","Open Cytogram")</f>
      </c>
      <c r="J248" s="2" t="s">
        <v>314</v>
      </c>
      <c r="K248" s="3" t="s">
        <v>314</v>
      </c>
      <c r="L248" s="3" t="s">
        <v>314</v>
      </c>
      <c r="M248" s="3" t="s">
        <v>362</v>
      </c>
    </row>
    <row r="249">
      <c r="A249" s="4" t="s">
        <v>314</v>
      </c>
      <c r="B249" s="5" t="n">
        <v>46203</v>
      </c>
      <c r="C249" s="5" t="n">
        <v>46184</v>
      </c>
      <c r="D249" s="6" t="str">
        <f>IF(OR(C249="",B249=""),"",B249-C249)</f>
      </c>
      <c r="E249" s="7" t="n">
        <v>4509496.31360696</v>
      </c>
      <c r="F249" s="9" t="n">
        <v>23.7587776562335</v>
      </c>
      <c r="G249" s="8" t="n">
        <v>13382481.1885015</v>
      </c>
      <c r="H249" s="10" t="n">
        <v>70.5070750555771</v>
      </c>
      <c r="I249" s="13" t="str">
        <f>=HYPERLINK("https://ucloud.univie.ac.at/index.php/f/1563062920","Open Cytogram")</f>
      </c>
      <c r="J249" s="2" t="s">
        <v>314</v>
      </c>
      <c r="K249" t="s">
        <v>314</v>
      </c>
      <c r="L249" t="s">
        <v>314</v>
      </c>
      <c r="M249" t="s">
        <v>396</v>
      </c>
    </row>
    <row r="250">
      <c r="A250" s="4" t="s">
        <v>314</v>
      </c>
      <c r="B250" s="5" t="n">
        <v>46209</v>
      </c>
      <c r="C250" s="5" t="n">
        <v>46184</v>
      </c>
      <c r="D250" s="6" t="str">
        <f>IF(OR(C250="",B250=""),"",B250-C250)</f>
      </c>
      <c r="E250" s="7" t="n">
        <v>4607447.13125774</v>
      </c>
      <c r="F250" s="9" t="n">
        <v>21.0284575566842</v>
      </c>
      <c r="G250" s="8" t="n">
        <v>15923993.2864202</v>
      </c>
      <c r="H250" s="10" t="n">
        <v>72.6773433133247</v>
      </c>
      <c r="I250" s="13" t="str">
        <f>=HYPERLINK("https://ucloud.univie.ac.at/index.php/f/1563062920","Open Cytogram")</f>
      </c>
      <c r="J250" s="2" t="s">
        <v>314</v>
      </c>
      <c r="K250" s="3" t="s">
        <v>314</v>
      </c>
      <c r="L250" s="3" t="s">
        <v>314</v>
      </c>
      <c r="M250" s="3" t="s">
        <v>396</v>
      </c>
    </row>
    <row r="251">
      <c r="A251" s="4" t="s">
        <v>314</v>
      </c>
      <c r="B251" s="5" t="n">
        <v>46206</v>
      </c>
      <c r="C251" s="5" t="n">
        <v>46184</v>
      </c>
      <c r="D251" s="6" t="str">
        <f>IF(OR(C251="",B251=""),"",B251-C251)</f>
      </c>
      <c r="E251" s="7" t="n">
        <v>4547278.2273132</v>
      </c>
      <c r="F251" s="9" t="n">
        <v>32.22155146393</v>
      </c>
      <c r="G251" s="8" t="n">
        <v>8375724.4163509</v>
      </c>
      <c r="H251" s="10" t="n">
        <v>59.3495321460912</v>
      </c>
      <c r="I251" s="13" t="str">
        <f>=HYPERLINK("https://ucloud.univie.ac.at/index.php/f/1563062920","Open Cytogram")</f>
      </c>
      <c r="J251" s="2" t="s">
        <v>314</v>
      </c>
      <c r="K251" t="s">
        <v>314</v>
      </c>
      <c r="L251" t="s">
        <v>314</v>
      </c>
      <c r="M251" t="s">
        <v>396</v>
      </c>
    </row>
    <row r="252">
      <c r="A252" s="4" t="s">
        <v>314</v>
      </c>
      <c r="B252" s="5" t="n">
        <v>46216</v>
      </c>
      <c r="C252" s="5" t="n">
        <v>46184</v>
      </c>
      <c r="D252" s="6" t="str">
        <f>IF(OR(C252="",B252=""),"",B252-C252)</f>
      </c>
      <c r="E252" s="7" t="n">
        <v>8135878.13649368</v>
      </c>
      <c r="F252" s="9" t="n">
        <v>35.0796096558808</v>
      </c>
      <c r="G252" s="8" t="n">
        <v>12967557.9893748</v>
      </c>
      <c r="H252" s="10" t="n">
        <v>55.9124491327881</v>
      </c>
      <c r="I252" s="13" t="str">
        <f>=HYPERLINK("https://ucloud.univie.ac.at/index.php/f/1563062920","Open Cytogram")</f>
      </c>
      <c r="J252" s="2" t="s">
        <v>314</v>
      </c>
      <c r="K252" s="3" t="s">
        <v>314</v>
      </c>
      <c r="L252" s="3" t="s">
        <v>314</v>
      </c>
      <c r="M252" s="3" t="s">
        <v>396</v>
      </c>
    </row>
    <row r="253">
      <c r="A253" s="16" t="s">
        <v>314</v>
      </c>
      <c r="B253" s="17" t="n">
        <v>46227</v>
      </c>
      <c r="C253" s="17" t="n">
        <v>46184</v>
      </c>
      <c r="D253" s="18" t="str">
        <f>IF(OR(C253="",B253=""),"",B253-C253)</f>
      </c>
      <c r="E253" s="19" t="n">
        <v>10036296.1176952</v>
      </c>
      <c r="F253" s="21" t="n">
        <v>29.6917780368131</v>
      </c>
      <c r="G253" s="20" t="n">
        <v>19232339.9264406</v>
      </c>
      <c r="H253" s="22" t="n">
        <v>56.8977201875898</v>
      </c>
      <c r="I253" s="23" t="str">
        <f>=HYPERLINK("https://ucloud.univie.ac.at/index.php/f/1563062920","Open Cytogram")</f>
      </c>
      <c r="J253" s="14" t="s">
        <v>314</v>
      </c>
      <c r="K253" s="24" t="s">
        <v>314</v>
      </c>
      <c r="L253" s="24" t="s">
        <v>314</v>
      </c>
      <c r="M253" s="24" t="s">
        <v>396</v>
      </c>
    </row>
    <row r="254">
      <c r="A254" s="16" t="s">
        <v>449</v>
      </c>
      <c r="B254" s="17" t="n">
        <v>46195</v>
      </c>
      <c r="C254" s="17" t="n">
        <v>46184</v>
      </c>
      <c r="D254" s="18" t="str">
        <f>IF(OR(C254="",B254=""),"",B254-C254)</f>
      </c>
      <c r="E254" s="19" t="n">
        <v>3211234.62035309</v>
      </c>
      <c r="F254" s="21" t="n">
        <v>16.1388412641931</v>
      </c>
      <c r="G254" s="20" t="n">
        <v>16108953.4663413</v>
      </c>
      <c r="H254" s="22" t="n">
        <v>80.959466890952</v>
      </c>
      <c r="I254" s="23" t="str">
        <f>=HYPERLINK("https://ucloud.univie.ac.at/index.php/f/1552579218","Open Cytogram")</f>
      </c>
      <c r="J254" s="14" t="s">
        <v>314</v>
      </c>
      <c r="K254" s="15" t="s">
        <v>314</v>
      </c>
      <c r="L254" s="15" t="s">
        <v>314</v>
      </c>
      <c r="M254" s="15" t="s">
        <v>347</v>
      </c>
    </row>
    <row r="255">
      <c r="A255" s="16" t="s">
        <v>450</v>
      </c>
      <c r="B255" s="17" t="n">
        <v>46195</v>
      </c>
      <c r="C255" s="17" t="n">
        <v>46184</v>
      </c>
      <c r="D255" s="18" t="str">
        <f>IF(OR(C255="",B255=""),"",B255-C255)</f>
      </c>
      <c r="E255" s="19" t="n">
        <v>2396044.06828016</v>
      </c>
      <c r="F255" s="21" t="n">
        <v>14.3811773481693</v>
      </c>
      <c r="G255" s="20" t="n">
        <v>13636271.5474436</v>
      </c>
      <c r="H255" s="22" t="n">
        <v>81.8455896065146</v>
      </c>
      <c r="I255" s="23" t="str">
        <f>=HYPERLINK("https://ucloud.univie.ac.at/index.php/f/1552579218","Open Cytogram")</f>
      </c>
      <c r="J255" s="14" t="s">
        <v>314</v>
      </c>
      <c r="K255" s="24" t="s">
        <v>314</v>
      </c>
      <c r="L255" s="24" t="s">
        <v>314</v>
      </c>
      <c r="M255" s="24" t="s">
        <v>347</v>
      </c>
    </row>
    <row r="256">
      <c r="A256" s="16" t="s">
        <v>451</v>
      </c>
      <c r="B256" s="17" t="n">
        <v>46195</v>
      </c>
      <c r="C256" s="17" t="n">
        <v>46184</v>
      </c>
      <c r="D256" s="18" t="str">
        <f>IF(OR(C256="",B256=""),"",B256-C256)</f>
      </c>
      <c r="E256" s="19" t="n">
        <v>4225647.48098176</v>
      </c>
      <c r="F256" s="21" t="n">
        <v>22.5981893910709</v>
      </c>
      <c r="G256" s="20" t="n">
        <v>13265250.4090713</v>
      </c>
      <c r="H256" s="22" t="n">
        <v>70.9407593542391</v>
      </c>
      <c r="I256" s="23" t="str">
        <f>=HYPERLINK("https://ucloud.univie.ac.at/index.php/f/1552579218","Open Cytogram")</f>
      </c>
      <c r="J256" s="14" t="s">
        <v>314</v>
      </c>
      <c r="K256" s="15" t="s">
        <v>314</v>
      </c>
      <c r="L256" s="15" t="s">
        <v>314</v>
      </c>
      <c r="M256" s="15" t="s">
        <v>347</v>
      </c>
    </row>
    <row r="257">
      <c r="A257" s="16" t="s">
        <v>452</v>
      </c>
      <c r="B257" s="17" t="n">
        <v>46195</v>
      </c>
      <c r="C257" s="17" t="n">
        <v>46184</v>
      </c>
      <c r="D257" s="18" t="str">
        <f>IF(OR(C257="",B257=""),"",B257-C257)</f>
      </c>
      <c r="E257" s="19" t="n">
        <v>2970846.08163459</v>
      </c>
      <c r="F257" s="21" t="n">
        <v>25.857484112318</v>
      </c>
      <c r="G257" s="20" t="n">
        <v>7640206.22074896</v>
      </c>
      <c r="H257" s="22" t="n">
        <v>66.4983999639428</v>
      </c>
      <c r="I257" s="23" t="str">
        <f>=HYPERLINK("https://ucloud.univie.ac.at/index.php/f/1552579218","Open Cytogram")</f>
      </c>
      <c r="J257" s="14" t="s">
        <v>314</v>
      </c>
      <c r="K257" s="24" t="s">
        <v>314</v>
      </c>
      <c r="L257" s="24" t="s">
        <v>314</v>
      </c>
      <c r="M257" s="24" t="s">
        <v>347</v>
      </c>
    </row>
    <row r="258">
      <c r="A258" s="4" t="s">
        <v>453</v>
      </c>
      <c r="B258" s="5" t="n">
        <v>46184</v>
      </c>
      <c r="C258" s="5" t="n">
        <v>46184</v>
      </c>
      <c r="D258" s="6" t="str">
        <f>IF(OR(C258="",B258=""),"",B258-C258)</f>
      </c>
      <c r="E258" s="7" t="n">
        <v>1181496.12921683</v>
      </c>
      <c r="F258" s="9" t="n">
        <v>32.4400564174894</v>
      </c>
      <c r="G258" s="8" t="n">
        <v>1969160.21536138</v>
      </c>
      <c r="H258" s="10" t="n">
        <v>54.0667606958157</v>
      </c>
      <c r="I258" s="13" t="str">
        <f>=HYPERLINK("https://ucloud.univie.ac.at/index.php/f/1525440401","Open Cytogram")</f>
      </c>
      <c r="J258" s="2" t="s">
        <v>314</v>
      </c>
      <c r="K258" s="3" t="s">
        <v>314</v>
      </c>
      <c r="L258" s="3" t="s">
        <v>314</v>
      </c>
      <c r="M258" s="3" t="s">
        <v>333</v>
      </c>
    </row>
    <row r="259">
      <c r="A259" s="4" t="s">
        <v>314</v>
      </c>
      <c r="B259" s="5" t="n">
        <v>46191</v>
      </c>
      <c r="C259" s="5" t="n">
        <v>46184</v>
      </c>
      <c r="D259" s="6" t="str">
        <f>IF(OR(C259="",B259=""),"",B259-C259)</f>
      </c>
      <c r="E259" s="7" t="n">
        <v>4214276.34352718</v>
      </c>
      <c r="F259" s="9" t="n">
        <v>25.8706467661692</v>
      </c>
      <c r="G259" s="8" t="n">
        <v>9317087.17486796</v>
      </c>
      <c r="H259" s="10" t="n">
        <v>57.1958389868838</v>
      </c>
      <c r="I259" s="13" t="str">
        <f>=HYPERLINK("https://ucloud.univie.ac.at/index.php/f/1527059776","Open Cytogram")</f>
      </c>
      <c r="J259" s="2" t="s">
        <v>314</v>
      </c>
      <c r="K259" t="s">
        <v>314</v>
      </c>
      <c r="L259" t="s">
        <v>314</v>
      </c>
      <c r="M259" t="s">
        <v>341</v>
      </c>
    </row>
    <row r="260">
      <c r="A260" s="4" t="s">
        <v>314</v>
      </c>
      <c r="B260" s="5" t="n">
        <v>46196</v>
      </c>
      <c r="C260" s="5" t="n">
        <v>46184</v>
      </c>
      <c r="D260" s="6" t="str">
        <f>IF(OR(C260="",B260=""),"",B260-C260)</f>
      </c>
      <c r="E260" s="7" t="n">
        <v>6871454.45400397</v>
      </c>
      <c r="F260" s="9" t="n">
        <v>40.0891010342084</v>
      </c>
      <c r="G260" s="8" t="n">
        <v>8649589.19920583</v>
      </c>
      <c r="H260" s="10" t="n">
        <v>50.4630071599045</v>
      </c>
      <c r="I260" s="13" t="str">
        <f>=HYPERLINK("https://ucloud.univie.ac.at/index.php/f/1556102548","Open Cytogram")</f>
      </c>
      <c r="J260" s="2" t="s">
        <v>314</v>
      </c>
      <c r="K260" s="3" t="s">
        <v>314</v>
      </c>
      <c r="L260" s="3" t="s">
        <v>314</v>
      </c>
      <c r="M260" s="3" t="s">
        <v>390</v>
      </c>
    </row>
    <row r="261">
      <c r="A261" s="4" t="s">
        <v>314</v>
      </c>
      <c r="B261" s="5" t="n">
        <v>46197</v>
      </c>
      <c r="C261" s="5" t="n">
        <v>46184</v>
      </c>
      <c r="D261" s="6" t="str">
        <f>IF(OR(C261="",B261=""),"",B261-C261)</f>
      </c>
      <c r="E261" s="7" t="n">
        <v>7070541.55495979</v>
      </c>
      <c r="F261" s="9" t="n">
        <v>28.662598667637</v>
      </c>
      <c r="G261" s="8" t="n">
        <v>16360984.5844504</v>
      </c>
      <c r="H261" s="10" t="n">
        <v>66.3242456474276</v>
      </c>
      <c r="I261" s="13" t="str">
        <f>=HYPERLINK("https://ucloud.univie.ac.at/index.php/f/1556102548","Open Cytogram")</f>
      </c>
      <c r="J261" s="2" t="s">
        <v>314</v>
      </c>
      <c r="K261" t="s">
        <v>314</v>
      </c>
      <c r="L261" t="s">
        <v>314</v>
      </c>
      <c r="M261" t="s">
        <v>390</v>
      </c>
    </row>
    <row r="262">
      <c r="A262" s="4" t="s">
        <v>314</v>
      </c>
      <c r="B262" s="5" t="n">
        <v>46199</v>
      </c>
      <c r="C262" s="5" t="n">
        <v>46184</v>
      </c>
      <c r="D262" s="6" t="str">
        <f>IF(OR(C262="",B262=""),"",B262-C262)</f>
      </c>
      <c r="E262" s="7" t="n">
        <v>4504276.21986742</v>
      </c>
      <c r="F262" s="9" t="n">
        <v>24.9650721841527</v>
      </c>
      <c r="G262" s="8" t="n">
        <v>12574762.8725732</v>
      </c>
      <c r="H262" s="10" t="n">
        <v>69.6959616791963</v>
      </c>
      <c r="I262" s="13" t="str">
        <f>=HYPERLINK("https://ucloud.univie.ac.at/index.php/f/1567854609","Open Cytogram")</f>
      </c>
      <c r="J262" s="2" t="s">
        <v>314</v>
      </c>
      <c r="K262" s="3" t="s">
        <v>314</v>
      </c>
      <c r="L262" s="3" t="s">
        <v>314</v>
      </c>
      <c r="M262" s="3" t="s">
        <v>362</v>
      </c>
    </row>
    <row r="263">
      <c r="A263" s="4" t="s">
        <v>314</v>
      </c>
      <c r="B263" s="5" t="n">
        <v>46203</v>
      </c>
      <c r="C263" s="5" t="n">
        <v>46184</v>
      </c>
      <c r="D263" s="6" t="str">
        <f>IF(OR(C263="",B263=""),"",B263-C263)</f>
      </c>
      <c r="E263" s="7" t="n">
        <v>5734487.96035984</v>
      </c>
      <c r="F263" s="9" t="n">
        <v>25.9148279306274</v>
      </c>
      <c r="G263" s="8" t="n">
        <v>15041477.5302221</v>
      </c>
      <c r="H263" s="10" t="n">
        <v>67.974212294561</v>
      </c>
      <c r="I263" s="13" t="str">
        <f>=HYPERLINK("https://ucloud.univie.ac.at/index.php/f/1563062920","Open Cytogram")</f>
      </c>
      <c r="J263" s="2" t="s">
        <v>314</v>
      </c>
      <c r="K263" t="s">
        <v>314</v>
      </c>
      <c r="L263" t="s">
        <v>314</v>
      </c>
      <c r="M263" t="s">
        <v>396</v>
      </c>
    </row>
    <row r="264">
      <c r="A264" s="4" t="s">
        <v>314</v>
      </c>
      <c r="B264" s="5" t="n">
        <v>46209</v>
      </c>
      <c r="C264" s="5" t="n">
        <v>46184</v>
      </c>
      <c r="D264" s="6" t="str">
        <f>IF(OR(C264="",B264=""),"",B264-C264)</f>
      </c>
      <c r="E264" s="7" t="n">
        <v>8178443.41087994</v>
      </c>
      <c r="F264" s="9" t="n">
        <v>31.5733678086619</v>
      </c>
      <c r="G264" s="8" t="n">
        <v>15620150.4568456</v>
      </c>
      <c r="H264" s="10" t="n">
        <v>60.3025210084034</v>
      </c>
      <c r="I264" s="13" t="str">
        <f>=HYPERLINK("https://ucloud.univie.ac.at/index.php/f/1563062920","Open Cytogram")</f>
      </c>
      <c r="J264" s="2" t="s">
        <v>314</v>
      </c>
      <c r="K264" s="3" t="s">
        <v>314</v>
      </c>
      <c r="L264" s="3" t="s">
        <v>314</v>
      </c>
      <c r="M264" s="3" t="s">
        <v>396</v>
      </c>
    </row>
    <row r="265">
      <c r="A265" s="4" t="s">
        <v>314</v>
      </c>
      <c r="B265" s="5" t="n">
        <v>46206</v>
      </c>
      <c r="C265" s="5" t="n">
        <v>46184</v>
      </c>
      <c r="D265" s="6" t="str">
        <f>IF(OR(C265="",B265=""),"",B265-C265)</f>
      </c>
      <c r="E265" s="7" t="n">
        <v>4393927.39248109</v>
      </c>
      <c r="F265" s="9" t="n">
        <v>31.5926493108729</v>
      </c>
      <c r="G265" s="8" t="n">
        <v>7695762.55495992</v>
      </c>
      <c r="H265" s="10" t="n">
        <v>55.333078101072</v>
      </c>
      <c r="I265" s="13" t="str">
        <f>=HYPERLINK("https://ucloud.univie.ac.at/index.php/f/1563062920","Open Cytogram")</f>
      </c>
      <c r="J265" s="2" t="s">
        <v>314</v>
      </c>
      <c r="K265" t="s">
        <v>314</v>
      </c>
      <c r="L265" t="s">
        <v>314</v>
      </c>
      <c r="M265" t="s">
        <v>396</v>
      </c>
    </row>
    <row r="266">
      <c r="A266" s="4" t="s">
        <v>314</v>
      </c>
      <c r="B266" s="5" t="n">
        <v>46216</v>
      </c>
      <c r="C266" s="5" t="n">
        <v>46184</v>
      </c>
      <c r="D266" s="6" t="str">
        <f>IF(OR(C266="",B266=""),"",B266-C266)</f>
      </c>
      <c r="E266" s="7" t="n">
        <v>15808105.5986923</v>
      </c>
      <c r="F266" s="9" t="n">
        <v>44.1532516059683</v>
      </c>
      <c r="G266" s="8" t="n">
        <v>18153848.1405803</v>
      </c>
      <c r="H266" s="10" t="n">
        <v>50.7050904716812</v>
      </c>
      <c r="I266" s="13" t="str">
        <f>=HYPERLINK("https://ucloud.univie.ac.at/index.php/f/1563062920","Open Cytogram")</f>
      </c>
      <c r="J266" s="2" t="s">
        <v>314</v>
      </c>
      <c r="K266" s="3" t="s">
        <v>314</v>
      </c>
      <c r="L266" s="3" t="s">
        <v>314</v>
      </c>
      <c r="M266" s="3" t="s">
        <v>396</v>
      </c>
    </row>
    <row r="267">
      <c r="A267" s="16" t="s">
        <v>314</v>
      </c>
      <c r="B267" s="17" t="n">
        <v>46227</v>
      </c>
      <c r="C267" s="17" t="n">
        <v>46184</v>
      </c>
      <c r="D267" s="18" t="str">
        <f>IF(OR(C267="",B267=""),"",B267-C267)</f>
      </c>
      <c r="E267" s="19" t="n">
        <v>10116014.7118921</v>
      </c>
      <c r="F267" s="21" t="n">
        <v>33.5950337776155</v>
      </c>
      <c r="G267" s="20" t="n">
        <v>16743653.6984062</v>
      </c>
      <c r="H267" s="22" t="n">
        <v>55.605258353113</v>
      </c>
      <c r="I267" s="23" t="str">
        <f>=HYPERLINK("https://ucloud.univie.ac.at/index.php/f/1563062920","Open Cytogram")</f>
      </c>
      <c r="J267" s="14" t="s">
        <v>314</v>
      </c>
      <c r="K267" s="24" t="s">
        <v>314</v>
      </c>
      <c r="L267" s="24" t="s">
        <v>314</v>
      </c>
      <c r="M267" s="24" t="s">
        <v>396</v>
      </c>
    </row>
    <row r="268">
      <c r="A268" s="16" t="s">
        <v>454</v>
      </c>
      <c r="B268" s="17" t="n">
        <v>46195</v>
      </c>
      <c r="C268" s="17" t="n">
        <v>46184</v>
      </c>
      <c r="D268" s="18" t="str">
        <f>IF(OR(C268="",B268=""),"",B268-C268)</f>
      </c>
      <c r="E268" s="19" t="n">
        <v>4185740.37605855</v>
      </c>
      <c r="F268" s="21" t="n">
        <v>22.7735948170198</v>
      </c>
      <c r="G268" s="20" t="n">
        <v>13286491.2874982</v>
      </c>
      <c r="H268" s="22" t="n">
        <v>72.2885659254071</v>
      </c>
      <c r="I268" s="23" t="str">
        <f>=HYPERLINK("https://ucloud.univie.ac.at/index.php/f/1552579218","Open Cytogram")</f>
      </c>
      <c r="J268" s="14" t="s">
        <v>314</v>
      </c>
      <c r="K268" s="15" t="s">
        <v>314</v>
      </c>
      <c r="L268" s="15" t="s">
        <v>314</v>
      </c>
      <c r="M268" s="15" t="s">
        <v>347</v>
      </c>
    </row>
    <row r="269">
      <c r="A269" s="16" t="s">
        <v>455</v>
      </c>
      <c r="B269" s="17" t="n">
        <v>46195</v>
      </c>
      <c r="C269" s="17" t="n">
        <v>46184</v>
      </c>
      <c r="D269" s="18" t="str">
        <f>IF(OR(C269="",B269=""),"",B269-C269)</f>
      </c>
      <c r="E269" s="19" t="n">
        <v>2401769.45677818</v>
      </c>
      <c r="F269" s="21" t="n">
        <v>35.8716848673947</v>
      </c>
      <c r="G269" s="20" t="n">
        <v>3560546.51189676</v>
      </c>
      <c r="H269" s="22" t="n">
        <v>53.1786271450858</v>
      </c>
      <c r="I269" s="23" t="str">
        <f>=HYPERLINK("https://ucloud.univie.ac.at/index.php/f/1552579218","Open Cytogram")</f>
      </c>
      <c r="J269" s="14" t="s">
        <v>314</v>
      </c>
      <c r="K269" s="24" t="s">
        <v>314</v>
      </c>
      <c r="L269" s="24" t="s">
        <v>314</v>
      </c>
      <c r="M269" s="24" t="s">
        <v>347</v>
      </c>
    </row>
    <row r="270">
      <c r="A270" s="16" t="s">
        <v>456</v>
      </c>
      <c r="B270" s="17" t="n">
        <v>46195</v>
      </c>
      <c r="C270" s="17" t="n">
        <v>46184</v>
      </c>
      <c r="D270" s="18" t="str">
        <f>IF(OR(C270="",B270=""),"",B270-C270)</f>
      </c>
      <c r="E270" s="19" t="n">
        <v>8961076.04420839</v>
      </c>
      <c r="F270" s="21" t="n">
        <v>43.8405340723013</v>
      </c>
      <c r="G270" s="20" t="n">
        <v>8017466.11166928</v>
      </c>
      <c r="H270" s="22" t="n">
        <v>39.2240836377377</v>
      </c>
      <c r="I270" s="23" t="str">
        <f>=HYPERLINK("https://ucloud.univie.ac.at/index.php/f/1552579218","Open Cytogram")</f>
      </c>
      <c r="J270" s="14" t="s">
        <v>314</v>
      </c>
      <c r="K270" s="15" t="s">
        <v>314</v>
      </c>
      <c r="L270" s="15" t="s">
        <v>314</v>
      </c>
      <c r="M270" s="15" t="s">
        <v>347</v>
      </c>
    </row>
    <row r="271">
      <c r="A271" s="16" t="s">
        <v>457</v>
      </c>
      <c r="B271" s="17" t="n">
        <v>46195</v>
      </c>
      <c r="C271" s="17" t="n">
        <v>46184</v>
      </c>
      <c r="D271" s="18" t="str">
        <f>IF(OR(C271="",B271=""),"",B271-C271)</f>
      </c>
      <c r="E271" s="19" t="n">
        <v>4764393.39744509</v>
      </c>
      <c r="F271" s="21" t="n">
        <v>22.1842594257628</v>
      </c>
      <c r="G271" s="20" t="n">
        <v>15942244.7538395</v>
      </c>
      <c r="H271" s="22" t="n">
        <v>74.2312533716957</v>
      </c>
      <c r="I271" s="23" t="str">
        <f>=HYPERLINK("https://ucloud.univie.ac.at/index.php/f/1552579218","Open Cytogram")</f>
      </c>
      <c r="J271" s="14" t="s">
        <v>314</v>
      </c>
      <c r="K271" s="24" t="s">
        <v>314</v>
      </c>
      <c r="L271" s="24" t="s">
        <v>314</v>
      </c>
      <c r="M271" s="24" t="s">
        <v>347</v>
      </c>
    </row>
    <row r="272">
      <c r="A272" s="4" t="s">
        <v>458</v>
      </c>
      <c r="B272" s="5" t="n">
        <v>46184</v>
      </c>
      <c r="C272" s="5" t="n">
        <v>46184</v>
      </c>
      <c r="D272" s="6" t="str">
        <f>IF(OR(C272="",B272=""),"",B272-C272)</f>
      </c>
      <c r="E272" s="7" t="n">
        <v>958236.827207629</v>
      </c>
      <c r="F272" s="9" t="n">
        <v>29.7667757774141</v>
      </c>
      <c r="G272" s="8" t="n">
        <v>1908043.80466388</v>
      </c>
      <c r="H272" s="10" t="n">
        <v>59.2716857610475</v>
      </c>
      <c r="I272" s="13" t="str">
        <f>=HYPERLINK("https://ucloud.univie.ac.at/index.php/f/1525440401","Open Cytogram")</f>
      </c>
      <c r="J272" s="2" t="s">
        <v>314</v>
      </c>
      <c r="K272" s="3" t="s">
        <v>314</v>
      </c>
      <c r="L272" s="3" t="s">
        <v>314</v>
      </c>
      <c r="M272" s="3" t="s">
        <v>333</v>
      </c>
    </row>
    <row r="273">
      <c r="A273" s="4" t="s">
        <v>314</v>
      </c>
      <c r="B273" s="5" t="n">
        <v>46191</v>
      </c>
      <c r="C273" s="5" t="n">
        <v>46184</v>
      </c>
      <c r="D273" s="6" t="str">
        <f>IF(OR(C273="",B273=""),"",B273-C273)</f>
      </c>
      <c r="E273" s="7" t="n">
        <v>2058020.73186234</v>
      </c>
      <c r="F273" s="9" t="n">
        <v>20.7631318136769</v>
      </c>
      <c r="G273" s="8" t="n">
        <v>6747262.7192346</v>
      </c>
      <c r="H273" s="10" t="n">
        <v>68.0723488602577</v>
      </c>
      <c r="I273" s="13" t="str">
        <f>=HYPERLINK("https://ucloud.univie.ac.at/index.php/f/1527059776","Open Cytogram")</f>
      </c>
      <c r="J273" s="2" t="s">
        <v>314</v>
      </c>
      <c r="K273" t="s">
        <v>314</v>
      </c>
      <c r="L273" t="s">
        <v>314</v>
      </c>
      <c r="M273" t="s">
        <v>341</v>
      </c>
    </row>
    <row r="274">
      <c r="A274" s="4" t="s">
        <v>314</v>
      </c>
      <c r="B274" s="5" t="n">
        <v>46196</v>
      </c>
      <c r="C274" s="5" t="n">
        <v>46184</v>
      </c>
      <c r="D274" s="6" t="str">
        <f>IF(OR(C274="",B274=""),"",B274-C274)</f>
      </c>
      <c r="E274" s="7" t="n">
        <v>6693640.97948379</v>
      </c>
      <c r="F274" s="9" t="n">
        <v>27.774131492588</v>
      </c>
      <c r="G274" s="8" t="n">
        <v>16443928.3123759</v>
      </c>
      <c r="H274" s="10" t="n">
        <v>68.2313002150051</v>
      </c>
      <c r="I274" s="13" t="str">
        <f>=HYPERLINK("https://ucloud.univie.ac.at/index.php/f/1556102548","Open Cytogram")</f>
      </c>
      <c r="J274" s="2" t="s">
        <v>314</v>
      </c>
      <c r="K274" s="3" t="s">
        <v>314</v>
      </c>
      <c r="L274" s="3" t="s">
        <v>314</v>
      </c>
      <c r="M274" s="3" t="s">
        <v>390</v>
      </c>
    </row>
    <row r="275">
      <c r="A275" s="4" t="s">
        <v>314</v>
      </c>
      <c r="B275" s="5" t="n">
        <v>46197</v>
      </c>
      <c r="C275" s="5" t="n">
        <v>46184</v>
      </c>
      <c r="D275" s="6" t="str">
        <f>IF(OR(C275="",B275=""),"",B275-C275)</f>
      </c>
      <c r="E275" s="7" t="n">
        <v>5519308.43150232</v>
      </c>
      <c r="F275" s="9" t="n">
        <v>32.5045774308567</v>
      </c>
      <c r="G275" s="8" t="n">
        <v>10281000.5559232</v>
      </c>
      <c r="H275" s="10" t="n">
        <v>60.5473643634962</v>
      </c>
      <c r="I275" s="13" t="str">
        <f>=HYPERLINK("https://ucloud.univie.ac.at/index.php/f/1556102548","Open Cytogram")</f>
      </c>
      <c r="J275" s="2" t="s">
        <v>314</v>
      </c>
      <c r="K275" t="s">
        <v>314</v>
      </c>
      <c r="L275" t="s">
        <v>314</v>
      </c>
      <c r="M275" t="s">
        <v>390</v>
      </c>
    </row>
    <row r="276">
      <c r="A276" s="4" t="s">
        <v>314</v>
      </c>
      <c r="B276" s="5" t="n">
        <v>46199</v>
      </c>
      <c r="C276" s="5" t="n">
        <v>46184</v>
      </c>
      <c r="D276" s="6" t="str">
        <f>IF(OR(C276="",B276=""),"",B276-C276)</f>
      </c>
      <c r="E276" s="7" t="n">
        <v>4390844.08055297</v>
      </c>
      <c r="F276" s="9" t="n">
        <v>23.4186939820743</v>
      </c>
      <c r="G276" s="8" t="n">
        <v>13922744.8032624</v>
      </c>
      <c r="H276" s="10" t="n">
        <v>74.2573623559539</v>
      </c>
      <c r="I276" s="13" t="str">
        <f>=HYPERLINK("https://ucloud.univie.ac.at/index.php/f/1567854609","Open Cytogram")</f>
      </c>
      <c r="J276" s="2" t="s">
        <v>314</v>
      </c>
      <c r="K276" s="3" t="s">
        <v>314</v>
      </c>
      <c r="L276" s="3" t="s">
        <v>314</v>
      </c>
      <c r="M276" s="3" t="s">
        <v>362</v>
      </c>
    </row>
    <row r="277">
      <c r="A277" s="4" t="s">
        <v>314</v>
      </c>
      <c r="B277" s="5" t="n">
        <v>46203</v>
      </c>
      <c r="C277" s="5" t="n">
        <v>46184</v>
      </c>
      <c r="D277" s="6" t="str">
        <f>IF(OR(C277="",B277=""),"",B277-C277)</f>
      </c>
      <c r="E277" s="7" t="n">
        <v>3932832.66797863</v>
      </c>
      <c r="F277" s="9" t="n">
        <v>23.0645351349228</v>
      </c>
      <c r="G277" s="8" t="n">
        <v>12087164.7069159</v>
      </c>
      <c r="H277" s="10" t="n">
        <v>70.8865234298283</v>
      </c>
      <c r="I277" s="13" t="str">
        <f>=HYPERLINK("https://ucloud.univie.ac.at/index.php/f/1563062920","Open Cytogram")</f>
      </c>
      <c r="J277" s="2" t="s">
        <v>314</v>
      </c>
      <c r="K277" t="s">
        <v>314</v>
      </c>
      <c r="L277" t="s">
        <v>314</v>
      </c>
      <c r="M277" t="s">
        <v>396</v>
      </c>
    </row>
    <row r="278">
      <c r="A278" s="4" t="s">
        <v>314</v>
      </c>
      <c r="B278" s="5" t="n">
        <v>46209</v>
      </c>
      <c r="C278" s="5" t="n">
        <v>46184</v>
      </c>
      <c r="D278" s="6" t="str">
        <f>IF(OR(C278="",B278=""),"",B278-C278)</f>
      </c>
      <c r="E278" s="7" t="n">
        <v>5885184.0350014</v>
      </c>
      <c r="F278" s="9" t="n">
        <v>29.1568503832498</v>
      </c>
      <c r="G278" s="8" t="n">
        <v>12949146.2538656</v>
      </c>
      <c r="H278" s="10" t="n">
        <v>64.1536981119554</v>
      </c>
      <c r="I278" s="13" t="str">
        <f>=HYPERLINK("https://ucloud.univie.ac.at/index.php/f/1563062920","Open Cytogram")</f>
      </c>
      <c r="J278" s="2" t="s">
        <v>314</v>
      </c>
      <c r="K278" s="3" t="s">
        <v>314</v>
      </c>
      <c r="L278" s="3" t="s">
        <v>314</v>
      </c>
      <c r="M278" s="3" t="s">
        <v>396</v>
      </c>
    </row>
    <row r="279">
      <c r="A279" s="4" t="s">
        <v>314</v>
      </c>
      <c r="B279" s="5" t="n">
        <v>46206</v>
      </c>
      <c r="C279" s="5" t="n">
        <v>46184</v>
      </c>
      <c r="D279" s="6" t="str">
        <f>IF(OR(C279="",B279=""),"",B279-C279)</f>
      </c>
      <c r="E279" s="7" t="n">
        <v>4403404.69855844</v>
      </c>
      <c r="F279" s="9" t="n">
        <v>29.6568554507306</v>
      </c>
      <c r="G279" s="8" t="n">
        <v>8785598.81753526</v>
      </c>
      <c r="H279" s="10" t="n">
        <v>59.1708580101783</v>
      </c>
      <c r="I279" s="13" t="str">
        <f>=HYPERLINK("https://ucloud.univie.ac.at/index.php/f/1563062920","Open Cytogram")</f>
      </c>
      <c r="J279" s="2" t="s">
        <v>314</v>
      </c>
      <c r="K279" t="s">
        <v>314</v>
      </c>
      <c r="L279" t="s">
        <v>314</v>
      </c>
      <c r="M279" t="s">
        <v>396</v>
      </c>
    </row>
    <row r="280">
      <c r="A280" s="4" t="s">
        <v>314</v>
      </c>
      <c r="B280" s="5" t="n">
        <v>46216</v>
      </c>
      <c r="C280" s="5" t="n">
        <v>46184</v>
      </c>
      <c r="D280" s="6" t="str">
        <f>IF(OR(C280="",B280=""),"",B280-C280)</f>
      </c>
      <c r="E280" s="7" t="n">
        <v>12375624.5198202</v>
      </c>
      <c r="F280" s="9" t="n">
        <v>44.0781958813355</v>
      </c>
      <c r="G280" s="8" t="n">
        <v>13511843.5635472</v>
      </c>
      <c r="H280" s="10" t="n">
        <v>48.1250611925198</v>
      </c>
      <c r="I280" s="13" t="str">
        <f>=HYPERLINK("https://ucloud.univie.ac.at/index.php/f/1563062920","Open Cytogram")</f>
      </c>
      <c r="J280" s="2" t="s">
        <v>314</v>
      </c>
      <c r="K280" s="3" t="s">
        <v>314</v>
      </c>
      <c r="L280" s="3" t="s">
        <v>314</v>
      </c>
      <c r="M280" s="3" t="s">
        <v>396</v>
      </c>
    </row>
    <row r="281">
      <c r="A281" s="16" t="s">
        <v>314</v>
      </c>
      <c r="B281" s="17" t="n">
        <v>46227</v>
      </c>
      <c r="C281" s="17" t="n">
        <v>46184</v>
      </c>
      <c r="D281" s="18" t="str">
        <f>IF(OR(C281="",B281=""),"",B281-C281)</f>
      </c>
      <c r="E281" s="19" t="n">
        <v>7759276.501839</v>
      </c>
      <c r="F281" s="21" t="n">
        <v>28.0480938027889</v>
      </c>
      <c r="G281" s="20" t="n">
        <v>17175233.6738864</v>
      </c>
      <c r="H281" s="22" t="n">
        <v>62.0847272365937</v>
      </c>
      <c r="I281" s="23" t="str">
        <f>=HYPERLINK("https://ucloud.univie.ac.at/index.php/f/1563062920","Open Cytogram")</f>
      </c>
      <c r="J281" s="14" t="s">
        <v>314</v>
      </c>
      <c r="K281" s="24" t="s">
        <v>314</v>
      </c>
      <c r="L281" s="24" t="s">
        <v>314</v>
      </c>
      <c r="M281" s="24" t="s">
        <v>396</v>
      </c>
    </row>
    <row r="282">
      <c r="A282" s="16" t="s">
        <v>459</v>
      </c>
      <c r="B282" s="17" t="n">
        <v>46195</v>
      </c>
      <c r="C282" s="17" t="n">
        <v>46184</v>
      </c>
      <c r="D282" s="18" t="str">
        <f>IF(OR(C282="",B282=""),"",B282-C282)</f>
      </c>
      <c r="E282" s="19" t="n">
        <v>3351458.22561253</v>
      </c>
      <c r="F282" s="21" t="n">
        <v>29.726253904097</v>
      </c>
      <c r="G282" s="20" t="n">
        <v>7057636.61261946</v>
      </c>
      <c r="H282" s="22" t="n">
        <v>62.5987506889583</v>
      </c>
      <c r="I282" s="23" t="str">
        <f>=HYPERLINK("https://ucloud.univie.ac.at/index.php/f/1552579218","Open Cytogram")</f>
      </c>
      <c r="J282" s="14" t="s">
        <v>314</v>
      </c>
      <c r="K282" s="15" t="s">
        <v>314</v>
      </c>
      <c r="L282" s="15" t="s">
        <v>314</v>
      </c>
      <c r="M282" s="15" t="s">
        <v>347</v>
      </c>
    </row>
    <row r="283">
      <c r="A283" s="16" t="s">
        <v>460</v>
      </c>
      <c r="B283" s="17" t="n">
        <v>46195</v>
      </c>
      <c r="C283" s="17" t="n">
        <v>46184</v>
      </c>
      <c r="D283" s="18" t="str">
        <f>IF(OR(C283="",B283=""),"",B283-C283)</f>
      </c>
      <c r="E283" s="19" t="n">
        <v>3540254.10040058</v>
      </c>
      <c r="F283" s="21" t="n">
        <v>29.435280558957</v>
      </c>
      <c r="G283" s="20" t="n">
        <v>7488116.06920651</v>
      </c>
      <c r="H283" s="22" t="n">
        <v>62.2595980695815</v>
      </c>
      <c r="I283" s="23" t="str">
        <f>=HYPERLINK("https://ucloud.univie.ac.at/index.php/f/1552579218","Open Cytogram")</f>
      </c>
      <c r="J283" s="14" t="s">
        <v>314</v>
      </c>
      <c r="K283" s="24" t="s">
        <v>314</v>
      </c>
      <c r="L283" s="24" t="s">
        <v>314</v>
      </c>
      <c r="M283" s="24" t="s">
        <v>347</v>
      </c>
    </row>
    <row r="284">
      <c r="A284" s="16" t="s">
        <v>461</v>
      </c>
      <c r="B284" s="17" t="n">
        <v>46195</v>
      </c>
      <c r="C284" s="17" t="n">
        <v>46184</v>
      </c>
      <c r="D284" s="18" t="str">
        <f>IF(OR(C284="",B284=""),"",B284-C284)</f>
      </c>
      <c r="E284" s="19" t="n">
        <v>3466125.16147552</v>
      </c>
      <c r="F284" s="21" t="n">
        <v>19.7267199062202</v>
      </c>
      <c r="G284" s="20" t="n">
        <v>13384328.0608583</v>
      </c>
      <c r="H284" s="22" t="n">
        <v>76.1740786870833</v>
      </c>
      <c r="I284" s="23" t="str">
        <f>=HYPERLINK("https://ucloud.univie.ac.at/index.php/f/1552579218","Open Cytogram")</f>
      </c>
      <c r="J284" s="14" t="s">
        <v>314</v>
      </c>
      <c r="K284" s="15" t="s">
        <v>314</v>
      </c>
      <c r="L284" s="15" t="s">
        <v>314</v>
      </c>
      <c r="M284" s="15" t="s">
        <v>347</v>
      </c>
    </row>
    <row r="285">
      <c r="A285" s="16" t="s">
        <v>462</v>
      </c>
      <c r="B285" s="17" t="n">
        <v>46195</v>
      </c>
      <c r="C285" s="17" t="n">
        <v>46184</v>
      </c>
      <c r="D285" s="18" t="str">
        <f>IF(OR(C285="",B285=""),"",B285-C285)</f>
      </c>
      <c r="E285" s="19" t="n">
        <v>3387598.27759437</v>
      </c>
      <c r="F285" s="21" t="n">
        <v>21.7344621102622</v>
      </c>
      <c r="G285" s="20" t="n">
        <v>11538946.2896512</v>
      </c>
      <c r="H285" s="22" t="n">
        <v>74.0326244063597</v>
      </c>
      <c r="I285" s="23" t="str">
        <f>=HYPERLINK("https://ucloud.univie.ac.at/index.php/f/1552579218","Open Cytogram")</f>
      </c>
      <c r="J285" s="14" t="s">
        <v>314</v>
      </c>
      <c r="K285" s="24" t="s">
        <v>314</v>
      </c>
      <c r="L285" s="24" t="s">
        <v>314</v>
      </c>
      <c r="M285" s="24" t="s">
        <v>347</v>
      </c>
    </row>
    <row r="286">
      <c r="A286" s="4" t="s">
        <v>463</v>
      </c>
      <c r="B286" s="5" t="n">
        <v>46204</v>
      </c>
      <c r="C286" s="5" t="n">
        <v>46199</v>
      </c>
      <c r="D286" s="6" t="str">
        <f>IF(OR(C286="",B286=""),"",B286-C286)</f>
      </c>
      <c r="E286" s="7" t="n">
        <v>4800954.15150841</v>
      </c>
      <c r="F286" s="9" t="n">
        <v>24.472654997756</v>
      </c>
      <c r="G286" s="8" t="n">
        <v>13249476.2986611</v>
      </c>
      <c r="H286" s="10" t="n">
        <v>67.5386292235686</v>
      </c>
      <c r="I286" s="13" t="str">
        <f>=HYPERLINK("https://ucloud.univie.ac.at/index.php/f/1543012007","Open Cytogram")</f>
      </c>
      <c r="J286" s="2" t="s">
        <v>314</v>
      </c>
      <c r="K286" s="3" t="s">
        <v>314</v>
      </c>
      <c r="L286" s="3" t="s">
        <v>314</v>
      </c>
      <c r="M286" s="3" t="s">
        <v>358</v>
      </c>
    </row>
    <row r="287">
      <c r="A287" s="16" t="s">
        <v>314</v>
      </c>
      <c r="B287" s="17" t="n">
        <v>46211</v>
      </c>
      <c r="C287" s="17" t="n">
        <v>46199</v>
      </c>
      <c r="D287" s="18" t="str">
        <f>IF(OR(C287="",B287=""),"",B287-C287)</f>
      </c>
      <c r="E287" s="19" t="n">
        <v>15902952.4766457</v>
      </c>
      <c r="F287" s="21" t="n">
        <v>61.2296410447166</v>
      </c>
      <c r="G287" s="20" t="n">
        <v>7975974.1690202</v>
      </c>
      <c r="H287" s="22" t="n">
        <v>30.7091425990382</v>
      </c>
      <c r="I287" s="23" t="str">
        <f>=HYPERLINK("https://ucloud.univie.ac.at/index.php/f/1547933978","Open Cytogram")</f>
      </c>
      <c r="J287" s="14" t="s">
        <v>314</v>
      </c>
      <c r="K287" s="24" t="s">
        <v>314</v>
      </c>
      <c r="L287" s="24" t="s">
        <v>314</v>
      </c>
      <c r="M287" s="24" t="s">
        <v>345</v>
      </c>
    </row>
    <row r="288">
      <c r="A288" s="4" t="s">
        <v>464</v>
      </c>
      <c r="B288" s="5" t="n">
        <v>46204</v>
      </c>
      <c r="C288" s="5" t="n">
        <v>46199</v>
      </c>
      <c r="D288" s="6" t="str">
        <f>IF(OR(C288="",B288=""),"",B288-C288)</f>
      </c>
      <c r="E288" s="7" t="n">
        <v>4934279.05065954</v>
      </c>
      <c r="F288" s="9" t="n">
        <v>29.1002151175729</v>
      </c>
      <c r="G288" s="8" t="n">
        <v>10181116.9450838</v>
      </c>
      <c r="H288" s="10" t="n">
        <v>60.0437652993101</v>
      </c>
      <c r="I288" s="13" t="str">
        <f>=HYPERLINK("https://ucloud.univie.ac.at/index.php/f/1543012007","Open Cytogram")</f>
      </c>
      <c r="J288" s="2" t="s">
        <v>314</v>
      </c>
      <c r="K288" s="3" t="s">
        <v>314</v>
      </c>
      <c r="L288" s="3" t="s">
        <v>314</v>
      </c>
      <c r="M288" s="3" t="s">
        <v>358</v>
      </c>
    </row>
    <row r="289">
      <c r="A289" s="16" t="s">
        <v>314</v>
      </c>
      <c r="B289" s="17" t="n">
        <v>46211</v>
      </c>
      <c r="C289" s="17" t="n">
        <v>46199</v>
      </c>
      <c r="D289" s="18" t="str">
        <f>IF(OR(C289="",B289=""),"",B289-C289)</f>
      </c>
      <c r="E289" s="19" t="n">
        <v>15182506.2893765</v>
      </c>
      <c r="F289" s="21" t="n">
        <v>59.8080791605502</v>
      </c>
      <c r="G289" s="20" t="n">
        <v>8385883.20660439</v>
      </c>
      <c r="H289" s="22" t="n">
        <v>33.034306529658</v>
      </c>
      <c r="I289" s="23" t="str">
        <f>=HYPERLINK("https://ucloud.univie.ac.at/index.php/f/1547933978","Open Cytogram")</f>
      </c>
      <c r="J289" s="14" t="s">
        <v>314</v>
      </c>
      <c r="K289" s="24" t="s">
        <v>314</v>
      </c>
      <c r="L289" s="24" t="s">
        <v>314</v>
      </c>
      <c r="M289" s="24" t="s">
        <v>345</v>
      </c>
    </row>
    <row r="290">
      <c r="A290" s="16" t="s">
        <v>465</v>
      </c>
      <c r="B290" s="17" t="n">
        <v>46204</v>
      </c>
      <c r="C290" s="17"/>
      <c r="D290" s="18" t="str">
        <f>IF(OR(C290="",B290=""),"",B290-C290)</f>
      </c>
      <c r="E290" s="19"/>
      <c r="F290" s="21"/>
      <c r="G290" s="20"/>
      <c r="H290" s="22"/>
      <c r="I290" s="23" t="str">
        <f>=HYPERLINK("https://ucloud.univie.ac.at/index.php/f/1543012007","Open Cytogram")</f>
      </c>
      <c r="J290" s="14" t="s">
        <v>314</v>
      </c>
      <c r="K290" s="15" t="s">
        <v>314</v>
      </c>
      <c r="L290" s="15" t="s">
        <v>314</v>
      </c>
      <c r="M290" s="15" t="s">
        <v>358</v>
      </c>
    </row>
    <row r="291">
      <c r="A291" s="4" t="s">
        <v>466</v>
      </c>
      <c r="B291" s="5" t="n">
        <v>46224</v>
      </c>
      <c r="C291" s="5" t="n">
        <v>46213</v>
      </c>
      <c r="D291" s="6" t="str">
        <f>IF(OR(C291="",B291=""),"",B291-C291)</f>
      </c>
      <c r="E291" s="7" t="n">
        <v>3489743.33843798</v>
      </c>
      <c r="F291" s="9" t="n">
        <v>43.4797259350781</v>
      </c>
      <c r="G291" s="8" t="n">
        <v>1883704.13476263</v>
      </c>
      <c r="H291" s="10" t="n">
        <v>23.4696169830394</v>
      </c>
      <c r="I291" s="13" t="str">
        <f>=HYPERLINK("https://ucloud.univie.ac.at/index.php/f/1556102548","Open Cytogram")</f>
      </c>
      <c r="J291" s="2" t="s">
        <v>314</v>
      </c>
      <c r="K291" t="s">
        <v>314</v>
      </c>
      <c r="L291" t="s">
        <v>314</v>
      </c>
      <c r="M291" t="s">
        <v>390</v>
      </c>
    </row>
    <row r="292">
      <c r="A292" s="16" t="s">
        <v>314</v>
      </c>
      <c r="B292" s="17" t="n">
        <v>46231</v>
      </c>
      <c r="C292" s="17" t="n">
        <v>46213</v>
      </c>
      <c r="D292" s="18" t="str">
        <f>IF(OR(C292="",B292=""),"",B292-C292)</f>
      </c>
      <c r="E292" s="19" t="n">
        <v>4892174.07177227</v>
      </c>
      <c r="F292" s="21" t="n">
        <v>41.1273803201578</v>
      </c>
      <c r="G292" s="20" t="n">
        <v>5089810.3237033</v>
      </c>
      <c r="H292" s="22" t="n">
        <v>42.7888627569987</v>
      </c>
      <c r="I292" s="23" t="str">
        <f>=HYPERLINK("https://ucloud.univie.ac.at/index.php/f/1563062920","Open Cytogram")</f>
      </c>
      <c r="J292" s="14" t="s">
        <v>314</v>
      </c>
      <c r="K292" s="15" t="s">
        <v>314</v>
      </c>
      <c r="L292" s="15" t="s">
        <v>314</v>
      </c>
      <c r="M292" s="15" t="s">
        <v>396</v>
      </c>
    </row>
    <row r="293">
      <c r="A293" s="4" t="s">
        <v>467</v>
      </c>
      <c r="B293" s="5" t="n">
        <v>46224</v>
      </c>
      <c r="C293" s="5" t="n">
        <v>46213</v>
      </c>
      <c r="D293" s="6" t="str">
        <f>IF(OR(C293="",B293=""),"",B293-C293)</f>
      </c>
      <c r="E293" s="7" t="n">
        <v>10114348.870121</v>
      </c>
      <c r="F293" s="9" t="n">
        <v>40.8952612763368</v>
      </c>
      <c r="G293" s="8" t="n">
        <v>13157213.0563798</v>
      </c>
      <c r="H293" s="10" t="n">
        <v>53.198448315205</v>
      </c>
      <c r="I293" s="13" t="str">
        <f>=HYPERLINK("https://ucloud.univie.ac.at/index.php/f/1556102548","Open Cytogram")</f>
      </c>
      <c r="J293" s="2" t="s">
        <v>314</v>
      </c>
      <c r="K293" t="s">
        <v>314</v>
      </c>
      <c r="L293" t="s">
        <v>314</v>
      </c>
      <c r="M293" t="s">
        <v>390</v>
      </c>
    </row>
    <row r="294">
      <c r="A294" s="16" t="s">
        <v>314</v>
      </c>
      <c r="B294" s="17" t="n">
        <v>46231</v>
      </c>
      <c r="C294" s="17" t="n">
        <v>46213</v>
      </c>
      <c r="D294" s="18" t="str">
        <f>IF(OR(C294="",B294=""),"",B294-C294)</f>
      </c>
      <c r="E294" s="19" t="n">
        <v>5718516.2088416</v>
      </c>
      <c r="F294" s="21" t="n">
        <v>43.5889204806017</v>
      </c>
      <c r="G294" s="20" t="n">
        <v>5955559.38467365</v>
      </c>
      <c r="H294" s="22" t="n">
        <v>45.3957626341374</v>
      </c>
      <c r="I294" s="23" t="str">
        <f>=HYPERLINK("https://ucloud.univie.ac.at/index.php/f/1563062920","Open Cytogram")</f>
      </c>
      <c r="J294" s="14" t="s">
        <v>314</v>
      </c>
      <c r="K294" s="15" t="s">
        <v>314</v>
      </c>
      <c r="L294" s="15" t="s">
        <v>314</v>
      </c>
      <c r="M294" s="15" t="s">
        <v>396</v>
      </c>
    </row>
    <row r="295">
      <c r="A295" s="4" t="s">
        <v>468</v>
      </c>
      <c r="B295" s="5" t="n">
        <v>46224</v>
      </c>
      <c r="C295" s="5" t="n">
        <v>46213</v>
      </c>
      <c r="D295" s="6" t="str">
        <f>IF(OR(C295="",B295=""),"",B295-C295)</f>
      </c>
      <c r="E295" s="7" t="n">
        <v>5970033.69093814</v>
      </c>
      <c r="F295" s="9" t="n">
        <v>29.2017483321831</v>
      </c>
      <c r="G295" s="8" t="n">
        <v>12439529.7877197</v>
      </c>
      <c r="H295" s="10" t="n">
        <v>60.8465608465608</v>
      </c>
      <c r="I295" s="13" t="str">
        <f>=HYPERLINK("https://ucloud.univie.ac.at/index.php/f/1556102548","Open Cytogram")</f>
      </c>
      <c r="J295" s="2" t="s">
        <v>314</v>
      </c>
      <c r="K295" t="s">
        <v>314</v>
      </c>
      <c r="L295" t="s">
        <v>314</v>
      </c>
      <c r="M295" t="s">
        <v>390</v>
      </c>
    </row>
    <row r="296">
      <c r="A296" s="16" t="s">
        <v>314</v>
      </c>
      <c r="B296" s="17" t="n">
        <v>46231</v>
      </c>
      <c r="C296" s="17" t="n">
        <v>46213</v>
      </c>
      <c r="D296" s="18" t="str">
        <f>IF(OR(C296="",B296=""),"",B296-C296)</f>
      </c>
      <c r="E296" s="19" t="n">
        <v>6163724.20405914</v>
      </c>
      <c r="F296" s="21" t="n">
        <v>42.7864436509428</v>
      </c>
      <c r="G296" s="20" t="n">
        <v>6083406.27519219</v>
      </c>
      <c r="H296" s="22" t="n">
        <v>42.2289043412892</v>
      </c>
      <c r="I296" s="23" t="str">
        <f>=HYPERLINK("https://ucloud.univie.ac.at/index.php/f/1563062920","Open Cytogram")</f>
      </c>
      <c r="J296" s="14" t="s">
        <v>314</v>
      </c>
      <c r="K296" s="15" t="s">
        <v>314</v>
      </c>
      <c r="L296" s="15" t="s">
        <v>314</v>
      </c>
      <c r="M296" s="15" t="s">
        <v>396</v>
      </c>
    </row>
    <row r="297">
      <c r="A297" s="4" t="s">
        <v>469</v>
      </c>
      <c r="B297" s="5" t="n">
        <v>46224</v>
      </c>
      <c r="C297" s="5" t="n">
        <v>46213</v>
      </c>
      <c r="D297" s="6" t="str">
        <f>IF(OR(C297="",B297=""),"",B297-C297)</f>
      </c>
      <c r="E297" s="7" t="n">
        <v>5056403.88739946</v>
      </c>
      <c r="F297" s="9" t="n">
        <v>31.4683511666882</v>
      </c>
      <c r="G297" s="8" t="n">
        <v>9261442.7613941</v>
      </c>
      <c r="H297" s="10" t="n">
        <v>57.6382622147737</v>
      </c>
      <c r="I297" s="13" t="str">
        <f>=HYPERLINK("https://ucloud.univie.ac.at/index.php/f/1556102548","Open Cytogram")</f>
      </c>
      <c r="J297" s="2" t="s">
        <v>314</v>
      </c>
      <c r="K297" t="s">
        <v>314</v>
      </c>
      <c r="L297" t="s">
        <v>314</v>
      </c>
      <c r="M297" t="s">
        <v>390</v>
      </c>
    </row>
    <row r="298">
      <c r="A298" s="16" t="s">
        <v>314</v>
      </c>
      <c r="B298" s="17" t="n">
        <v>46231</v>
      </c>
      <c r="C298" s="17" t="n">
        <v>46213</v>
      </c>
      <c r="D298" s="18" t="str">
        <f>IF(OR(C298="",B298=""),"",B298-C298)</f>
      </c>
      <c r="E298" s="19" t="n">
        <v>5930892.45520888</v>
      </c>
      <c r="F298" s="21" t="n">
        <v>37.4985735478717</v>
      </c>
      <c r="G298" s="20" t="n">
        <v>7841376.22387553</v>
      </c>
      <c r="H298" s="22" t="n">
        <v>49.5777701700331</v>
      </c>
      <c r="I298" s="23" t="str">
        <f>=HYPERLINK("https://ucloud.univie.ac.at/index.php/f/1563062920","Open Cytogram")</f>
      </c>
      <c r="J298" s="14" t="s">
        <v>314</v>
      </c>
      <c r="K298" s="15" t="s">
        <v>314</v>
      </c>
      <c r="L298" s="15" t="s">
        <v>314</v>
      </c>
      <c r="M298" s="15" t="s">
        <v>396</v>
      </c>
    </row>
    <row r="299">
      <c r="A299" s="4" t="s">
        <v>470</v>
      </c>
      <c r="B299" s="5" t="n">
        <v>46238</v>
      </c>
      <c r="C299" s="5" t="n">
        <v>46227</v>
      </c>
      <c r="D299" s="6" t="str">
        <f>IF(OR(C299="",B299=""),"",B299-C299)</f>
      </c>
      <c r="E299" s="7" t="n">
        <v>6810129.54921194</v>
      </c>
      <c r="F299" s="9" t="n">
        <v>35.1823142750837</v>
      </c>
      <c r="G299" s="8" t="n">
        <v>10085257.5081482</v>
      </c>
      <c r="H299" s="10" t="n">
        <v>52.1021952127</v>
      </c>
      <c r="I299" s="13" t="str">
        <f>=HYPERLINK("https://ucloud.univie.ac.at/index.php/f/1567854609","Open Cytogram")</f>
      </c>
      <c r="J299" s="2" t="s">
        <v>314</v>
      </c>
      <c r="K299" t="s">
        <v>314</v>
      </c>
      <c r="L299" t="s">
        <v>314</v>
      </c>
      <c r="M299" t="s">
        <v>362</v>
      </c>
    </row>
    <row r="300">
      <c r="A300" s="16" t="s">
        <v>314</v>
      </c>
      <c r="B300" s="17" t="n">
        <v>46247</v>
      </c>
      <c r="C300" s="17" t="n">
        <v>46227</v>
      </c>
      <c r="D300" s="18" t="str">
        <f>IF(OR(C300="",B300=""),"",B300-C300)</f>
      </c>
      <c r="E300" s="19" t="n">
        <v>15042596.7918509</v>
      </c>
      <c r="F300" s="21" t="n">
        <v>47.6641856392294</v>
      </c>
      <c r="G300" s="20" t="n">
        <v>14868494.261582</v>
      </c>
      <c r="H300" s="22" t="n">
        <v>47.1125218914186</v>
      </c>
      <c r="I300" s="23" t="str">
        <f>=HYPERLINK("https://ucloud.univie.ac.at/index.php/f/1576432618","Open Cytogram")</f>
      </c>
      <c r="J300" s="14" t="s">
        <v>314</v>
      </c>
      <c r="K300" s="15" t="s">
        <v>314</v>
      </c>
      <c r="L300" s="15" t="s">
        <v>314</v>
      </c>
      <c r="M300" s="15" t="s">
        <v>363</v>
      </c>
    </row>
    <row r="301">
      <c r="A301" s="4" t="s">
        <v>471</v>
      </c>
      <c r="B301" s="5" t="n">
        <v>46238</v>
      </c>
      <c r="C301" s="5" t="n">
        <v>46227</v>
      </c>
      <c r="D301" s="6" t="str">
        <f>IF(OR(C301="",B301=""),"",B301-C301)</f>
      </c>
      <c r="E301" s="7" t="n">
        <v>5356517.689849</v>
      </c>
      <c r="F301" s="9" t="n">
        <v>43.0722455479948</v>
      </c>
      <c r="G301" s="8" t="n">
        <v>5001217.02067358</v>
      </c>
      <c r="H301" s="10" t="n">
        <v>40.2152405771922</v>
      </c>
      <c r="I301" s="13" t="str">
        <f>=HYPERLINK("https://ucloud.univie.ac.at/index.php/f/1567854609","Open Cytogram")</f>
      </c>
      <c r="J301" s="13" t="str">
        <f>=HYPERLINK("https://ucloud.univie.ac.at/index.php/f/1568321929","Open Microscopy")</f>
      </c>
      <c r="K301" t="s">
        <v>472</v>
      </c>
      <c r="L301" t="s">
        <v>314</v>
      </c>
      <c r="M301" t="s">
        <v>362</v>
      </c>
    </row>
    <row r="302">
      <c r="A302" s="16" t="s">
        <v>314</v>
      </c>
      <c r="B302" s="17" t="n">
        <v>46247</v>
      </c>
      <c r="C302" s="17" t="n">
        <v>46227</v>
      </c>
      <c r="D302" s="18" t="str">
        <f>IF(OR(C302="",B302=""),"",B302-C302)</f>
      </c>
      <c r="E302" s="19" t="n">
        <v>10754976.5424491</v>
      </c>
      <c r="F302" s="21" t="n">
        <v>39.0375404368433</v>
      </c>
      <c r="G302" s="20" t="n">
        <v>15180773.4031755</v>
      </c>
      <c r="H302" s="22" t="n">
        <v>55.1019384607669</v>
      </c>
      <c r="I302" s="23" t="str">
        <f>=HYPERLINK("https://ucloud.univie.ac.at/index.php/f/1576432618","Open Cytogram")</f>
      </c>
      <c r="J302" s="14" t="s">
        <v>314</v>
      </c>
      <c r="K302" s="15" t="s">
        <v>314</v>
      </c>
      <c r="L302" s="15" t="s">
        <v>314</v>
      </c>
      <c r="M302" s="15" t="s">
        <v>363</v>
      </c>
    </row>
    <row r="303">
      <c r="A303" s="16" t="s">
        <v>473</v>
      </c>
      <c r="B303" s="17" t="n">
        <v>46247</v>
      </c>
      <c r="C303" s="17"/>
      <c r="D303" s="18" t="str">
        <f>IF(OR(C303="",B303=""),"",B303-C303)</f>
      </c>
      <c r="E303" s="19" t="n">
        <v>7330269.23076923</v>
      </c>
      <c r="F303" s="21" t="n">
        <v>35.163888244457</v>
      </c>
      <c r="G303" s="20" t="n">
        <v>11614435.064888</v>
      </c>
      <c r="H303" s="22" t="n">
        <v>55.7153746727206</v>
      </c>
      <c r="I303" s="23" t="str">
        <f>=HYPERLINK("https://ucloud.univie.ac.at/index.php/f/1576432618","Open Cytogram")</f>
      </c>
      <c r="J303" s="14" t="s">
        <v>314</v>
      </c>
      <c r="K303" s="24" t="s">
        <v>314</v>
      </c>
      <c r="L303" s="24" t="s">
        <v>314</v>
      </c>
      <c r="M303" s="24" t="s">
        <v>363</v>
      </c>
    </row>
    <row r="304">
      <c r="A304" s="16" t="s">
        <v>474</v>
      </c>
      <c r="B304" s="17" t="n">
        <v>46247</v>
      </c>
      <c r="C304" s="17"/>
      <c r="D304" s="18" t="str">
        <f>IF(OR(C304="",B304=""),"",B304-C304)</f>
      </c>
      <c r="E304" s="19" t="n">
        <v>8808068.08888567</v>
      </c>
      <c r="F304" s="21" t="n">
        <v>45.0033534540577</v>
      </c>
      <c r="G304" s="20" t="n">
        <v>8046714.9604872</v>
      </c>
      <c r="H304" s="22" t="n">
        <v>41.1133467471496</v>
      </c>
      <c r="I304" s="23" t="str">
        <f>=HYPERLINK("https://ucloud.univie.ac.at/index.php/f/1576432618","Open Cytogram")</f>
      </c>
      <c r="J304" s="14" t="s">
        <v>314</v>
      </c>
      <c r="K304" s="15" t="s">
        <v>314</v>
      </c>
      <c r="L304" s="15" t="s">
        <v>314</v>
      </c>
      <c r="M304" s="15" t="s">
        <v>363</v>
      </c>
    </row>
    <row r="305">
      <c r="A305" s="16" t="s">
        <v>475</v>
      </c>
      <c r="B305" s="17" t="n">
        <v>46247</v>
      </c>
      <c r="C305" s="17"/>
      <c r="D305" s="18" t="str">
        <f>IF(OR(C305="",B305=""),"",B305-C305)</f>
      </c>
      <c r="E305" s="19" t="n">
        <v>6920105.32773374</v>
      </c>
      <c r="F305" s="21" t="n">
        <v>37.4744814935353</v>
      </c>
      <c r="G305" s="20" t="n">
        <v>9043778.89546634</v>
      </c>
      <c r="H305" s="22" t="n">
        <v>48.9748217402882</v>
      </c>
      <c r="I305" s="23" t="str">
        <f>=HYPERLINK("https://ucloud.univie.ac.at/index.php/f/1576432618","Open Cytogram")</f>
      </c>
      <c r="J305" s="14" t="s">
        <v>314</v>
      </c>
      <c r="K305" s="24" t="s">
        <v>314</v>
      </c>
      <c r="L305" s="24" t="s">
        <v>314</v>
      </c>
      <c r="M305" s="24" t="s">
        <v>363</v>
      </c>
    </row>
    <row r="306">
      <c r="A306" s="4" t="s">
        <v>476</v>
      </c>
      <c r="B306" s="5" t="n">
        <v>46142</v>
      </c>
      <c r="C306" s="5" t="n">
        <v>46136</v>
      </c>
      <c r="D306" s="6" t="str">
        <f>IF(OR(C306="",B306=""),"",B306-C306)</f>
      </c>
      <c r="E306" s="7" t="n">
        <v>71191.2669661404</v>
      </c>
      <c r="F306" s="9" t="n">
        <v>40.0921658986175</v>
      </c>
      <c r="G306" s="8" t="n">
        <v>34163.6252394984</v>
      </c>
      <c r="H306" s="10" t="n">
        <v>19.2396313364055</v>
      </c>
      <c r="I306" s="13" t="str">
        <f>=HYPERLINK("https://ucloud.univie.ac.at/index.php/f/1514655988","Open Cytogram")</f>
      </c>
      <c r="J306" s="2" t="s">
        <v>314</v>
      </c>
      <c r="K306" s="3" t="s">
        <v>314</v>
      </c>
      <c r="L306" s="3" t="s">
        <v>314</v>
      </c>
      <c r="M306" s="3" t="s">
        <v>318</v>
      </c>
    </row>
    <row r="307">
      <c r="A307" s="4" t="s">
        <v>314</v>
      </c>
      <c r="B307" s="5" t="n">
        <v>46153</v>
      </c>
      <c r="C307" s="5" t="n">
        <v>46147</v>
      </c>
      <c r="D307" s="6" t="str">
        <f>IF(OR(C307="",B307=""),"",B307-C307)</f>
      </c>
      <c r="E307" s="7" t="n">
        <v>882730.795858896</v>
      </c>
      <c r="F307" s="9" t="n">
        <v>62.0060353499066</v>
      </c>
      <c r="G307" s="8" t="n">
        <v>268194.686760374</v>
      </c>
      <c r="H307" s="10" t="n">
        <v>18.8389136370168</v>
      </c>
      <c r="I307" s="13" t="str">
        <f>=HYPERLINK("https://ucloud.univie.ac.at/index.php/f/1514655988","Open Cytogram")</f>
      </c>
      <c r="J307" s="2" t="s">
        <v>314</v>
      </c>
      <c r="K307" t="s">
        <v>314</v>
      </c>
      <c r="L307" t="s">
        <v>314</v>
      </c>
      <c r="M307" t="s">
        <v>318</v>
      </c>
    </row>
    <row r="308">
      <c r="A308" s="16" t="s">
        <v>314</v>
      </c>
      <c r="B308" s="17" t="n">
        <v>46160</v>
      </c>
      <c r="C308" s="17" t="n">
        <v>46147</v>
      </c>
      <c r="D308" s="18" t="str">
        <f>IF(OR(C308="",B308=""),"",B308-C308)</f>
      </c>
      <c r="E308" s="19" t="n">
        <v>1177147.56871036</v>
      </c>
      <c r="F308" s="21" t="n">
        <v>33.4964682139253</v>
      </c>
      <c r="G308" s="20" t="n">
        <v>595754.756871034</v>
      </c>
      <c r="H308" s="22" t="n">
        <v>16.9525731584258</v>
      </c>
      <c r="I308" s="23" t="str">
        <f>=HYPERLINK("https://ucloud.univie.ac.at/index.php/f/1515117518","Open Cytogram")</f>
      </c>
      <c r="J308" s="14" t="s">
        <v>314</v>
      </c>
      <c r="K308" s="15" t="s">
        <v>314</v>
      </c>
      <c r="L308" s="15" t="s">
        <v>314</v>
      </c>
      <c r="M308" s="15" t="s">
        <v>408</v>
      </c>
    </row>
    <row r="309">
      <c r="A309" s="4" t="s">
        <v>478</v>
      </c>
      <c r="B309" s="5" t="n">
        <v>46142</v>
      </c>
      <c r="C309" s="5" t="n">
        <v>46136</v>
      </c>
      <c r="D309" s="6" t="str">
        <f>IF(OR(C309="",B309=""),"",B309-C309)</f>
      </c>
      <c r="E309" s="7" t="n">
        <v>94307.9714695136</v>
      </c>
      <c r="F309" s="9" t="n">
        <v>19.2967768940979</v>
      </c>
      <c r="G309" s="8" t="n">
        <v>68940.9682976704</v>
      </c>
      <c r="H309" s="10" t="n">
        <v>14.1063206362495</v>
      </c>
      <c r="I309" s="13" t="str">
        <f>=HYPERLINK("https://ucloud.univie.ac.at/index.php/f/1514655988","Open Cytogram")</f>
      </c>
      <c r="J309" s="2" t="s">
        <v>314</v>
      </c>
      <c r="K309" t="s">
        <v>314</v>
      </c>
      <c r="L309" t="s">
        <v>314</v>
      </c>
      <c r="M309" t="s">
        <v>318</v>
      </c>
    </row>
    <row r="310">
      <c r="A310" s="4" t="s">
        <v>314</v>
      </c>
      <c r="B310" s="5" t="n">
        <v>46153</v>
      </c>
      <c r="C310" s="5" t="n">
        <v>46147</v>
      </c>
      <c r="D310" s="6" t="str">
        <f>IF(OR(C310="",B310=""),"",B310-C310)</f>
      </c>
      <c r="E310" s="7" t="n">
        <v>91239.3823761454</v>
      </c>
      <c r="F310" s="9" t="n">
        <v>35.68</v>
      </c>
      <c r="G310" s="8" t="n">
        <v>54825.4584681771</v>
      </c>
      <c r="H310" s="10" t="n">
        <v>21.44</v>
      </c>
      <c r="I310" s="13" t="str">
        <f>=HYPERLINK("https://ucloud.univie.ac.at/index.php/f/1514655988","Open Cytogram")</f>
      </c>
      <c r="J310" s="2" t="s">
        <v>314</v>
      </c>
      <c r="K310" s="3" t="s">
        <v>314</v>
      </c>
      <c r="L310" s="3" t="s">
        <v>314</v>
      </c>
      <c r="M310" s="3" t="s">
        <v>318</v>
      </c>
    </row>
    <row r="311">
      <c r="A311" s="16" t="s">
        <v>314</v>
      </c>
      <c r="B311" s="17" t="n">
        <v>46160</v>
      </c>
      <c r="C311" s="17" t="n">
        <v>46147</v>
      </c>
      <c r="D311" s="18" t="str">
        <f>IF(OR(C311="",B311=""),"",B311-C311)</f>
      </c>
      <c r="E311" s="19" t="n">
        <v>309867.562596709</v>
      </c>
      <c r="F311" s="21" t="n">
        <v>29.2553951693583</v>
      </c>
      <c r="G311" s="20" t="n">
        <v>448074.247819374</v>
      </c>
      <c r="H311" s="22" t="n">
        <v>42.3038445047878</v>
      </c>
      <c r="I311" s="23" t="str">
        <f>=HYPERLINK("https://ucloud.univie.ac.at/index.php/f/1515117518","Open Cytogram")</f>
      </c>
      <c r="J311" s="14" t="s">
        <v>314</v>
      </c>
      <c r="K311" s="24" t="s">
        <v>314</v>
      </c>
      <c r="L311" s="24" t="s">
        <v>314</v>
      </c>
      <c r="M311" s="24" t="s">
        <v>408</v>
      </c>
    </row>
    <row r="312">
      <c r="A312" s="4" t="s">
        <v>479</v>
      </c>
      <c r="B312" s="5" t="n">
        <v>46142</v>
      </c>
      <c r="C312" s="5" t="n">
        <v>46136</v>
      </c>
      <c r="D312" s="6" t="str">
        <f>IF(OR(C312="",B312=""),"",B312-C312)</f>
      </c>
      <c r="E312" s="7" t="n">
        <v>595101.711507191</v>
      </c>
      <c r="F312" s="9" t="n">
        <v>37.6326002587322</v>
      </c>
      <c r="G312" s="8" t="n">
        <v>179614.748265147</v>
      </c>
      <c r="H312" s="10" t="n">
        <v>11.3583441138422</v>
      </c>
      <c r="I312" s="13" t="str">
        <f>=HYPERLINK("https://ucloud.univie.ac.at/index.php/f/1514655988","Open Cytogram")</f>
      </c>
      <c r="J312" s="2" t="s">
        <v>314</v>
      </c>
      <c r="K312" s="3" t="s">
        <v>314</v>
      </c>
      <c r="L312" s="3" t="s">
        <v>314</v>
      </c>
      <c r="M312" s="3" t="s">
        <v>318</v>
      </c>
    </row>
    <row r="313">
      <c r="A313" s="16" t="s">
        <v>314</v>
      </c>
      <c r="B313" s="17" t="n">
        <v>46153</v>
      </c>
      <c r="C313" s="17" t="n">
        <v>46136</v>
      </c>
      <c r="D313" s="18" t="str">
        <f>IF(OR(C313="",B313=""),"",B313-C313)</f>
      </c>
      <c r="E313" s="19" t="n">
        <v>813176.109742552</v>
      </c>
      <c r="F313" s="21" t="n">
        <v>47.5592246949031</v>
      </c>
      <c r="G313" s="20" t="n">
        <v>440035.675988988</v>
      </c>
      <c r="H313" s="22" t="n">
        <v>25.7358219669778</v>
      </c>
      <c r="I313" s="23" t="str">
        <f>=HYPERLINK("https://ucloud.univie.ac.at/index.php/f/1514655988","Open Cytogram")</f>
      </c>
      <c r="J313" s="14" t="s">
        <v>314</v>
      </c>
      <c r="K313" s="24" t="s">
        <v>314</v>
      </c>
      <c r="L313" s="24" t="s">
        <v>314</v>
      </c>
      <c r="M313" s="24" t="s">
        <v>318</v>
      </c>
    </row>
    <row r="314">
      <c r="A314" s="4" t="s">
        <v>480</v>
      </c>
      <c r="B314" s="5" t="n">
        <v>46142</v>
      </c>
      <c r="C314" s="5" t="n">
        <v>46136</v>
      </c>
      <c r="D314" s="6" t="str">
        <f>IF(OR(C314="",B314=""),"",B314-C314)</f>
      </c>
      <c r="E314" s="7" t="n">
        <v>43573.9651258273</v>
      </c>
      <c r="F314" s="9" t="n">
        <v>25.9439707673569</v>
      </c>
      <c r="G314" s="8" t="n">
        <v>48688.2802814408</v>
      </c>
      <c r="H314" s="10" t="n">
        <v>28.9890377588307</v>
      </c>
      <c r="I314" s="13" t="str">
        <f>=HYPERLINK("https://ucloud.univie.ac.at/index.php/f/1514655988","Open Cytogram")</f>
      </c>
      <c r="J314" s="2" t="s">
        <v>314</v>
      </c>
      <c r="K314" s="3" t="s">
        <v>314</v>
      </c>
      <c r="L314" s="3" t="s">
        <v>314</v>
      </c>
      <c r="M314" s="3" t="s">
        <v>318</v>
      </c>
    </row>
    <row r="315">
      <c r="A315" s="4" t="s">
        <v>314</v>
      </c>
      <c r="B315" s="5" t="n">
        <v>46153</v>
      </c>
      <c r="C315" s="5" t="n">
        <v>46149</v>
      </c>
      <c r="D315" s="6" t="str">
        <f>IF(OR(C315="",B315=""),"",B315-C315)</f>
      </c>
      <c r="E315" s="7" t="n">
        <v>89807.3741325736</v>
      </c>
      <c r="F315" s="9" t="n">
        <v>35.8075040783034</v>
      </c>
      <c r="G315" s="8" t="n">
        <v>102286.303112271</v>
      </c>
      <c r="H315" s="10" t="n">
        <v>40.7830342577488</v>
      </c>
      <c r="I315" s="13" t="str">
        <f>=HYPERLINK("https://ucloud.univie.ac.at/index.php/f/1514655988","Open Cytogram")</f>
      </c>
      <c r="J315" s="2" t="s">
        <v>314</v>
      </c>
      <c r="K315" t="s">
        <v>314</v>
      </c>
      <c r="L315" t="s">
        <v>314</v>
      </c>
      <c r="M315" t="s">
        <v>318</v>
      </c>
    </row>
    <row r="316">
      <c r="A316" s="16" t="s">
        <v>314</v>
      </c>
      <c r="B316" s="17" t="n">
        <v>46160</v>
      </c>
      <c r="C316" s="17" t="n">
        <v>46149</v>
      </c>
      <c r="D316" s="18" t="str">
        <f>IF(OR(C316="",B316=""),"",B316-C316)</f>
      </c>
      <c r="E316" s="19" t="n">
        <v>381241.551734152</v>
      </c>
      <c r="F316" s="21" t="n">
        <v>39.5524146054181</v>
      </c>
      <c r="G316" s="20" t="n">
        <v>285495.956549776</v>
      </c>
      <c r="H316" s="22" t="n">
        <v>29.6191597958382</v>
      </c>
      <c r="I316" s="23" t="str">
        <f>=HYPERLINK("https://ucloud.univie.ac.at/index.php/f/1515117518","Open Cytogram")</f>
      </c>
      <c r="J316" s="14" t="s">
        <v>314</v>
      </c>
      <c r="K316" s="15" t="s">
        <v>314</v>
      </c>
      <c r="L316" s="15" t="s">
        <v>314</v>
      </c>
      <c r="M316" s="15" t="s">
        <v>408</v>
      </c>
    </row>
    <row r="317">
      <c r="A317" s="4" t="s">
        <v>482</v>
      </c>
      <c r="B317" s="5" t="n">
        <v>46181</v>
      </c>
      <c r="C317" s="5" t="n">
        <v>46174</v>
      </c>
      <c r="D317" s="6" t="str">
        <f>IF(OR(C317="",B317=""),"",B317-C317)</f>
      </c>
      <c r="E317" s="7" t="n">
        <v>431960.82733832</v>
      </c>
      <c r="F317" s="9" t="n">
        <v>25.9377425196171</v>
      </c>
      <c r="G317" s="8" t="n">
        <v>817824.771174113</v>
      </c>
      <c r="H317" s="10" t="n">
        <v>49.1075278089161</v>
      </c>
      <c r="I317" s="13" t="str">
        <f>=HYPERLINK("https://ucloud.univie.ac.at/index.php/f/1518571338","Open Cytogram")</f>
      </c>
      <c r="J317" s="2" t="s">
        <v>314</v>
      </c>
      <c r="K317" t="s">
        <v>314</v>
      </c>
      <c r="L317" t="s">
        <v>314</v>
      </c>
      <c r="M317" t="s">
        <v>328</v>
      </c>
    </row>
    <row r="318">
      <c r="A318" s="4" t="s">
        <v>314</v>
      </c>
      <c r="B318" s="5" t="n">
        <v>46188</v>
      </c>
      <c r="C318" s="5" t="n">
        <v>46174</v>
      </c>
      <c r="D318" s="6" t="str">
        <f>IF(OR(C318="",B318=""),"",B318-C318)</f>
      </c>
      <c r="E318" s="7" t="n">
        <v>344920.228435634</v>
      </c>
      <c r="F318" s="9" t="n">
        <v>14.4988222978278</v>
      </c>
      <c r="G318" s="8" t="n">
        <v>1276329.36514991</v>
      </c>
      <c r="H318" s="10" t="n">
        <v>53.6508767338393</v>
      </c>
      <c r="I318" s="13" t="str">
        <f>=HYPERLINK("https://ucloud.univie.ac.at/index.php/f/1525440401","Open Cytogram")</f>
      </c>
      <c r="J318" s="2" t="s">
        <v>314</v>
      </c>
      <c r="K318" s="3" t="s">
        <v>314</v>
      </c>
      <c r="L318" s="3" t="s">
        <v>314</v>
      </c>
      <c r="M318" s="3" t="s">
        <v>333</v>
      </c>
    </row>
    <row r="319">
      <c r="A319" s="16" t="s">
        <v>314</v>
      </c>
      <c r="B319" s="17" t="n">
        <v>46196</v>
      </c>
      <c r="C319" s="17" t="n">
        <v>46174</v>
      </c>
      <c r="D319" s="18" t="str">
        <f>IF(OR(C319="",B319=""),"",B319-C319)</f>
      </c>
      <c r="E319" s="19" t="n">
        <v>0</v>
      </c>
      <c r="F319" s="21" t="n">
        <v>0</v>
      </c>
      <c r="G319" s="20" t="n">
        <v>10107.3649320517</v>
      </c>
      <c r="H319" s="22" t="n">
        <v>3.13390313390317</v>
      </c>
      <c r="I319" s="23" t="str">
        <f>=HYPERLINK("https://ucloud.univie.ac.at/index.php/f/1537345531","Open Cytogram")</f>
      </c>
      <c r="J319" s="14" t="s">
        <v>314</v>
      </c>
      <c r="K319" s="24" t="s">
        <v>314</v>
      </c>
      <c r="L319" s="24" t="s">
        <v>314</v>
      </c>
      <c r="M319" s="24" t="s">
        <v>343</v>
      </c>
    </row>
    <row r="320">
      <c r="A320" s="4" t="s">
        <v>483</v>
      </c>
      <c r="B320" s="5" t="n">
        <v>46181</v>
      </c>
      <c r="C320" s="5" t="n">
        <v>46174</v>
      </c>
      <c r="D320" s="6" t="str">
        <f>IF(OR(C320="",B320=""),"",B320-C320)</f>
      </c>
      <c r="E320" s="7" t="n">
        <v>266098.209128294</v>
      </c>
      <c r="F320" s="9" t="n">
        <v>26.8511809882626</v>
      </c>
      <c r="G320" s="8" t="n">
        <v>491269.278698269</v>
      </c>
      <c r="H320" s="10" t="n">
        <v>49.57252572091</v>
      </c>
      <c r="I320" s="13" t="str">
        <f>=HYPERLINK("https://ucloud.univie.ac.at/index.php/f/1518571338","Open Cytogram")</f>
      </c>
      <c r="J320" s="2" t="s">
        <v>314</v>
      </c>
      <c r="K320" s="3" t="s">
        <v>314</v>
      </c>
      <c r="L320" s="3" t="s">
        <v>314</v>
      </c>
      <c r="M320" s="3" t="s">
        <v>328</v>
      </c>
    </row>
    <row r="321">
      <c r="A321" s="4" t="s">
        <v>314</v>
      </c>
      <c r="B321" s="5" t="n">
        <v>46188</v>
      </c>
      <c r="C321" s="5" t="n">
        <v>46174</v>
      </c>
      <c r="D321" s="6" t="str">
        <f>IF(OR(C321="",B321=""),"",B321-C321)</f>
      </c>
      <c r="E321" s="7" t="n">
        <v>1540509.48814818</v>
      </c>
      <c r="F321" s="9" t="n">
        <v>17.2579782492423</v>
      </c>
      <c r="G321" s="8" t="n">
        <v>6566580.83677378</v>
      </c>
      <c r="H321" s="10" t="n">
        <v>73.5639151363879</v>
      </c>
      <c r="I321" s="13" t="str">
        <f>=HYPERLINK("https://ucloud.univie.ac.at/index.php/f/1525440401","Open Cytogram")</f>
      </c>
      <c r="J321" s="2" t="s">
        <v>314</v>
      </c>
      <c r="K321" t="s">
        <v>314</v>
      </c>
      <c r="L321" t="s">
        <v>314</v>
      </c>
      <c r="M321" t="s">
        <v>333</v>
      </c>
    </row>
    <row r="322">
      <c r="A322" s="16" t="s">
        <v>314</v>
      </c>
      <c r="B322" s="17" t="n">
        <v>46196</v>
      </c>
      <c r="C322" s="17" t="n">
        <v>46174</v>
      </c>
      <c r="D322" s="18" t="str">
        <f>IF(OR(C322="",B322=""),"",B322-C322)</f>
      </c>
      <c r="E322" s="19" t="n">
        <v>2034361.95973487</v>
      </c>
      <c r="F322" s="21" t="n">
        <v>19.6417247939125</v>
      </c>
      <c r="G322" s="20" t="n">
        <v>7159673.38613711</v>
      </c>
      <c r="H322" s="22" t="n">
        <v>69.1265060240964</v>
      </c>
      <c r="I322" s="23" t="str">
        <f>=HYPERLINK("https://ucloud.univie.ac.at/index.php/f/1543012007","Open Cytogram")</f>
      </c>
      <c r="J322" s="14" t="s">
        <v>314</v>
      </c>
      <c r="K322" s="15" t="s">
        <v>314</v>
      </c>
      <c r="L322" s="15" t="s">
        <v>314</v>
      </c>
      <c r="M322" s="15" t="s">
        <v>358</v>
      </c>
    </row>
    <row r="323">
      <c r="A323" s="4" t="s">
        <v>484</v>
      </c>
      <c r="B323" s="5" t="n">
        <v>46181</v>
      </c>
      <c r="C323" s="5" t="n">
        <v>46174</v>
      </c>
      <c r="D323" s="6" t="str">
        <f>IF(OR(C323="",B323=""),"",B323-C323)</f>
      </c>
      <c r="E323" s="7" t="n">
        <v>57513.4013753123</v>
      </c>
      <c r="F323" s="9" t="n">
        <v>39.9700598802395</v>
      </c>
      <c r="G323" s="8" t="n">
        <v>34895.771620976</v>
      </c>
      <c r="H323" s="10" t="n">
        <v>24.251497005988</v>
      </c>
      <c r="I323" s="13" t="str">
        <f>=HYPERLINK("https://ucloud.univie.ac.at/index.php/f/1518571338","Open Cytogram")</f>
      </c>
      <c r="J323" s="2" t="s">
        <v>314</v>
      </c>
      <c r="K323" t="s">
        <v>314</v>
      </c>
      <c r="L323" t="s">
        <v>314</v>
      </c>
      <c r="M323" t="s">
        <v>328</v>
      </c>
    </row>
    <row r="324">
      <c r="A324" s="4" t="s">
        <v>314</v>
      </c>
      <c r="B324" s="5" t="n">
        <v>46188</v>
      </c>
      <c r="C324" s="5" t="n">
        <v>46174</v>
      </c>
      <c r="D324" s="6" t="str">
        <f>IF(OR(C324="",B324=""),"",B324-C324)</f>
      </c>
      <c r="E324" s="7" t="n">
        <v>155293.6383887</v>
      </c>
      <c r="F324" s="9" t="n">
        <v>42.7871529667937</v>
      </c>
      <c r="G324" s="8" t="n">
        <v>144427.035193562</v>
      </c>
      <c r="H324" s="10" t="n">
        <v>39.7931409907458</v>
      </c>
      <c r="I324" s="13" t="str">
        <f>=HYPERLINK("https://ucloud.univie.ac.at/index.php/f/1525440401","Open Cytogram")</f>
      </c>
      <c r="J324" s="2" t="s">
        <v>314</v>
      </c>
      <c r="K324" s="3" t="s">
        <v>314</v>
      </c>
      <c r="L324" s="3" t="s">
        <v>314</v>
      </c>
      <c r="M324" s="3" t="s">
        <v>333</v>
      </c>
    </row>
    <row r="325">
      <c r="A325" s="16" t="s">
        <v>314</v>
      </c>
      <c r="B325" s="17" t="n">
        <v>46196</v>
      </c>
      <c r="C325" s="17" t="n">
        <v>46174</v>
      </c>
      <c r="D325" s="18" t="str">
        <f>IF(OR(C325="",B325=""),"",B325-C325)</f>
      </c>
      <c r="E325" s="19" t="n">
        <v>96793.3668814225</v>
      </c>
      <c r="F325" s="21" t="n">
        <v>27.9750292625829</v>
      </c>
      <c r="G325" s="20" t="n">
        <v>99223.3258826297</v>
      </c>
      <c r="H325" s="22" t="n">
        <v>28.6773312524385</v>
      </c>
      <c r="I325" s="23" t="str">
        <f>=HYPERLINK("https://ucloud.univie.ac.at/index.php/f/1543012007","Open Cytogram")</f>
      </c>
      <c r="J325" s="14" t="s">
        <v>314</v>
      </c>
      <c r="K325" s="24" t="s">
        <v>314</v>
      </c>
      <c r="L325" s="24" t="s">
        <v>314</v>
      </c>
      <c r="M325" s="24" t="s">
        <v>358</v>
      </c>
    </row>
    <row r="326">
      <c r="A326" s="4" t="s">
        <v>485</v>
      </c>
      <c r="B326" s="5" t="n">
        <v>46204</v>
      </c>
      <c r="C326" s="5" t="n">
        <v>46197</v>
      </c>
      <c r="D326" s="6" t="str">
        <f>IF(OR(C326="",B326=""),"",B326-C326)</f>
      </c>
      <c r="E326" s="7" t="n">
        <v>2474401.51196162</v>
      </c>
      <c r="F326" s="9" t="n">
        <v>30.192333377855</v>
      </c>
      <c r="G326" s="8" t="n">
        <v>4164503.67275292</v>
      </c>
      <c r="H326" s="10" t="n">
        <v>50.8147455589689</v>
      </c>
      <c r="I326" s="13" t="str">
        <f>=HYPERLINK("https://ucloud.univie.ac.at/index.php/f/1543012007","Open Cytogram")</f>
      </c>
      <c r="J326" s="2" t="s">
        <v>314</v>
      </c>
      <c r="K326" s="3" t="s">
        <v>314</v>
      </c>
      <c r="L326" s="3" t="s">
        <v>314</v>
      </c>
      <c r="M326" s="3" t="s">
        <v>358</v>
      </c>
    </row>
    <row r="327">
      <c r="A327" s="4" t="s">
        <v>314</v>
      </c>
      <c r="B327" s="5" t="n">
        <v>46211</v>
      </c>
      <c r="C327" s="5" t="n">
        <v>46197</v>
      </c>
      <c r="D327" s="6" t="str">
        <f>IF(OR(C327="",B327=""),"",B327-C327)</f>
      </c>
      <c r="E327" s="7" t="n">
        <v>1129808.00637323</v>
      </c>
      <c r="F327" s="9" t="n">
        <v>20.6026058631922</v>
      </c>
      <c r="G327" s="8" t="n">
        <v>1799208.08603864</v>
      </c>
      <c r="H327" s="10" t="n">
        <v>32.8094462540717</v>
      </c>
      <c r="I327" s="13" t="str">
        <f>=HYPERLINK("https://ucloud.univie.ac.at/index.php/f/1547933978","Open Cytogram")</f>
      </c>
      <c r="J327" s="2" t="s">
        <v>314</v>
      </c>
      <c r="K327" t="s">
        <v>314</v>
      </c>
      <c r="L327" t="s">
        <v>314</v>
      </c>
      <c r="M327" t="s">
        <v>345</v>
      </c>
    </row>
    <row r="328">
      <c r="A328" s="16" t="s">
        <v>314</v>
      </c>
      <c r="B328" s="17" t="n">
        <v>46218</v>
      </c>
      <c r="C328" s="17" t="n">
        <v>46197</v>
      </c>
      <c r="D328" s="18" t="str">
        <f>IF(OR(C328="",B328=""),"",B328-C328)</f>
      </c>
      <c r="E328" s="19" t="n">
        <v>2049422.93670159</v>
      </c>
      <c r="F328" s="21" t="n">
        <v>14.1933758302501</v>
      </c>
      <c r="G328" s="20" t="n">
        <v>8638600.88990956</v>
      </c>
      <c r="H328" s="22" t="n">
        <v>59.8270405206615</v>
      </c>
      <c r="I328" s="23" t="str">
        <f>=HYPERLINK("https://ucloud.univie.ac.at/index.php/f/1552579218","Open Cytogram")</f>
      </c>
      <c r="J328" s="14" t="s">
        <v>314</v>
      </c>
      <c r="K328" s="15" t="s">
        <v>314</v>
      </c>
      <c r="L328" s="15" t="s">
        <v>314</v>
      </c>
      <c r="M328" s="15" t="s">
        <v>347</v>
      </c>
    </row>
    <row r="329">
      <c r="A329" s="4" t="s">
        <v>486</v>
      </c>
      <c r="B329" s="5" t="n">
        <v>46204</v>
      </c>
      <c r="C329" s="5" t="n">
        <v>46197</v>
      </c>
      <c r="D329" s="6" t="str">
        <f>IF(OR(C329="",B329=""),"",B329-C329)</f>
      </c>
      <c r="E329" s="7" t="n">
        <v>318218.86306828</v>
      </c>
      <c r="F329" s="9" t="n">
        <v>22.6499552372426</v>
      </c>
      <c r="G329" s="8" t="n">
        <v>865773.323104082</v>
      </c>
      <c r="H329" s="10" t="n">
        <v>61.6233960011938</v>
      </c>
      <c r="I329" s="13" t="str">
        <f>=HYPERLINK("https://ucloud.univie.ac.at/index.php/f/1543012007","Open Cytogram")</f>
      </c>
      <c r="J329" s="2" t="s">
        <v>314</v>
      </c>
      <c r="K329" t="s">
        <v>314</v>
      </c>
      <c r="L329" t="s">
        <v>314</v>
      </c>
      <c r="M329" t="s">
        <v>358</v>
      </c>
    </row>
    <row r="330">
      <c r="A330" s="4" t="s">
        <v>314</v>
      </c>
      <c r="B330" s="5" t="n">
        <v>46211</v>
      </c>
      <c r="C330" s="5" t="n">
        <v>46197</v>
      </c>
      <c r="D330" s="6" t="str">
        <f>IF(OR(C330="",B330=""),"",B330-C330)</f>
      </c>
      <c r="E330" s="7" t="n">
        <v>1722021.65498874</v>
      </c>
      <c r="F330" s="9" t="n">
        <v>37.1926229508197</v>
      </c>
      <c r="G330" s="8" t="n">
        <v>2478193.14756506</v>
      </c>
      <c r="H330" s="10" t="n">
        <v>53.5245901639344</v>
      </c>
      <c r="I330" s="13" t="str">
        <f>=HYPERLINK("https://ucloud.univie.ac.at/index.php/f/1547933978","Open Cytogram")</f>
      </c>
      <c r="J330" s="2" t="s">
        <v>314</v>
      </c>
      <c r="K330" s="3" t="s">
        <v>314</v>
      </c>
      <c r="L330" s="3" t="s">
        <v>314</v>
      </c>
      <c r="M330" s="3" t="s">
        <v>345</v>
      </c>
    </row>
    <row r="331">
      <c r="A331" s="16" t="s">
        <v>314</v>
      </c>
      <c r="B331" s="17" t="n">
        <v>46218</v>
      </c>
      <c r="C331" s="17" t="n">
        <v>46197</v>
      </c>
      <c r="D331" s="18" t="str">
        <f>IF(OR(C331="",B331=""),"",B331-C331)</f>
      </c>
      <c r="E331" s="19" t="n">
        <v>975243.590858902</v>
      </c>
      <c r="F331" s="21" t="n">
        <v>28.4756703078451</v>
      </c>
      <c r="G331" s="20" t="n">
        <v>2081426.60019406</v>
      </c>
      <c r="H331" s="22" t="n">
        <v>60.7745779543198</v>
      </c>
      <c r="I331" s="23" t="str">
        <f>=HYPERLINK("https://ucloud.univie.ac.at/index.php/f/1552579218","Open Cytogram")</f>
      </c>
      <c r="J331" s="14" t="s">
        <v>314</v>
      </c>
      <c r="K331" s="24" t="s">
        <v>314</v>
      </c>
      <c r="L331" s="24" t="s">
        <v>314</v>
      </c>
      <c r="M331" s="24" t="s">
        <v>347</v>
      </c>
    </row>
    <row r="332">
      <c r="A332" s="4" t="s">
        <v>487</v>
      </c>
      <c r="B332" s="5" t="n">
        <v>46204</v>
      </c>
      <c r="C332" s="5" t="n">
        <v>46197</v>
      </c>
      <c r="D332" s="6" t="str">
        <f>IF(OR(C332="",B332=""),"",B332-C332)</f>
      </c>
      <c r="E332" s="7" t="n">
        <v>50489.1481361953</v>
      </c>
      <c r="F332" s="9" t="n">
        <v>28.0570142535634</v>
      </c>
      <c r="G332" s="8" t="n">
        <v>78298.6789277894</v>
      </c>
      <c r="H332" s="10" t="n">
        <v>43.5108777194298</v>
      </c>
      <c r="I332" s="13" t="str">
        <f>=HYPERLINK("https://ucloud.univie.ac.at/index.php/f/1543012007","Open Cytogram")</f>
      </c>
      <c r="J332" s="2" t="s">
        <v>314</v>
      </c>
      <c r="K332" s="3" t="s">
        <v>314</v>
      </c>
      <c r="L332" s="3" t="s">
        <v>314</v>
      </c>
      <c r="M332" s="3" t="s">
        <v>358</v>
      </c>
    </row>
    <row r="333">
      <c r="A333" s="4" t="s">
        <v>314</v>
      </c>
      <c r="B333" s="5" t="n">
        <v>46211</v>
      </c>
      <c r="C333" s="5" t="n">
        <v>46197</v>
      </c>
      <c r="D333" s="6" t="str">
        <f>IF(OR(C333="",B333=""),"",B333-C333)</f>
      </c>
      <c r="E333" s="7" t="n">
        <v>32966.5295981506</v>
      </c>
      <c r="F333" s="9" t="n">
        <v>30.4990757855822</v>
      </c>
      <c r="G333" s="8" t="n">
        <v>43955.3727975342</v>
      </c>
      <c r="H333" s="10" t="n">
        <v>40.6654343807763</v>
      </c>
      <c r="I333" s="13" t="str">
        <f>=HYPERLINK("https://ucloud.univie.ac.at/index.php/f/1547933978","Open Cytogram")</f>
      </c>
      <c r="J333" s="2" t="s">
        <v>314</v>
      </c>
      <c r="K333" t="s">
        <v>314</v>
      </c>
      <c r="L333" t="s">
        <v>314</v>
      </c>
      <c r="M333" t="s">
        <v>345</v>
      </c>
    </row>
    <row r="334">
      <c r="A334" s="16" t="s">
        <v>314</v>
      </c>
      <c r="B334" s="17" t="n">
        <v>46218</v>
      </c>
      <c r="C334" s="17" t="n">
        <v>46197</v>
      </c>
      <c r="D334" s="18" t="str">
        <f>IF(OR(C334="",B334=""),"",B334-C334)</f>
      </c>
      <c r="E334" s="19" t="n">
        <v>190801.938316187</v>
      </c>
      <c r="F334" s="21" t="n">
        <v>32.6347305389222</v>
      </c>
      <c r="G334" s="20" t="n">
        <v>243181.581227264</v>
      </c>
      <c r="H334" s="22" t="n">
        <v>41.5937356057117</v>
      </c>
      <c r="I334" s="23" t="str">
        <f>=HYPERLINK("https://ucloud.univie.ac.at/index.php/f/1552579218","Open Cytogram")</f>
      </c>
      <c r="J334" s="14" t="s">
        <v>314</v>
      </c>
      <c r="K334" s="15" t="s">
        <v>314</v>
      </c>
      <c r="L334" s="15" t="s">
        <v>314</v>
      </c>
      <c r="M334" s="15" t="s">
        <v>347</v>
      </c>
    </row>
    <row r="335">
      <c r="A335" s="4" t="s">
        <v>488</v>
      </c>
      <c r="B335" s="5" t="n">
        <v>46233</v>
      </c>
      <c r="C335" s="5"/>
      <c r="D335" s="6" t="str">
        <f>IF(OR(C335="",B335=""),"",B335-C335)</f>
      </c>
      <c r="E335" s="7" t="n">
        <v>1811955.96316973</v>
      </c>
      <c r="F335" s="9" t="n">
        <v>23.7675205413243</v>
      </c>
      <c r="G335" s="8" t="n">
        <v>2714709.82382368</v>
      </c>
      <c r="H335" s="10" t="n">
        <v>35.6089898501692</v>
      </c>
      <c r="I335" s="13" t="str">
        <f>=HYPERLINK("https://ucloud.univie.ac.at/index.php/f/1576432618","Open Cytogram")</f>
      </c>
      <c r="J335" s="2" t="s">
        <v>314</v>
      </c>
      <c r="K335" t="s">
        <v>314</v>
      </c>
      <c r="L335" t="s">
        <v>314</v>
      </c>
      <c r="M335" t="s">
        <v>363</v>
      </c>
    </row>
    <row r="336">
      <c r="A336" s="4" t="s">
        <v>314</v>
      </c>
      <c r="B336" s="5" t="n">
        <v>46239</v>
      </c>
      <c r="C336" s="5"/>
      <c r="D336" s="6" t="str">
        <f>IF(OR(C336="",B336=""),"",B336-C336)</f>
      </c>
      <c r="E336" s="7" t="n">
        <v>2726915.42449068</v>
      </c>
      <c r="F336" s="9" t="n">
        <v>22.1517566505781</v>
      </c>
      <c r="G336" s="8" t="n">
        <v>6521936.05452041</v>
      </c>
      <c r="H336" s="10" t="n">
        <v>52.9801324503311</v>
      </c>
      <c r="I336" s="13" t="str">
        <f>=HYPERLINK("https://ucloud.univie.ac.at/index.php/f/1576432618","Open Cytogram")</f>
      </c>
      <c r="J336" s="2" t="s">
        <v>314</v>
      </c>
      <c r="K336" s="3" t="s">
        <v>314</v>
      </c>
      <c r="L336" s="3" t="s">
        <v>314</v>
      </c>
      <c r="M336" s="3" t="s">
        <v>363</v>
      </c>
    </row>
    <row r="337">
      <c r="A337" s="16" t="s">
        <v>314</v>
      </c>
      <c r="B337" s="17" t="n">
        <v>46244</v>
      </c>
      <c r="C337" s="17"/>
      <c r="D337" s="18" t="str">
        <f>IF(OR(C337="",B337=""),"",B337-C337)</f>
      </c>
      <c r="E337" s="19" t="n">
        <v>4730152.20752448</v>
      </c>
      <c r="F337" s="21" t="n">
        <v>33.9273380301147</v>
      </c>
      <c r="G337" s="20" t="n">
        <v>7993109.80931111</v>
      </c>
      <c r="H337" s="22" t="n">
        <v>57.3311230832988</v>
      </c>
      <c r="I337" s="23" t="str">
        <f>=HYPERLINK("https://ucloud.univie.ac.at/index.php/f/1576432618","Open Cytogram")</f>
      </c>
      <c r="J337" s="14" t="s">
        <v>314</v>
      </c>
      <c r="K337" s="24" t="s">
        <v>314</v>
      </c>
      <c r="L337" s="24" t="s">
        <v>314</v>
      </c>
      <c r="M337" s="24" t="s">
        <v>363</v>
      </c>
    </row>
    <row r="338">
      <c r="A338" s="4" t="s">
        <v>489</v>
      </c>
      <c r="B338" s="5" t="n">
        <v>46233</v>
      </c>
      <c r="C338" s="5"/>
      <c r="D338" s="6" t="str">
        <f>IF(OR(C338="",B338=""),"",B338-C338)</f>
      </c>
      <c r="E338" s="7" t="n">
        <v>776091.966939753</v>
      </c>
      <c r="F338" s="9" t="n">
        <v>17.1693499082943</v>
      </c>
      <c r="G338" s="8" t="n">
        <v>1589952.20764156</v>
      </c>
      <c r="H338" s="10" t="n">
        <v>35.174240880375</v>
      </c>
      <c r="I338" s="13" t="str">
        <f>=HYPERLINK("https://ucloud.univie.ac.at/index.php/f/1576432618","Open Cytogram")</f>
      </c>
      <c r="J338" s="2" t="s">
        <v>314</v>
      </c>
      <c r="K338" s="3" t="s">
        <v>314</v>
      </c>
      <c r="L338" s="3" t="s">
        <v>314</v>
      </c>
      <c r="M338" s="3" t="s">
        <v>363</v>
      </c>
    </row>
    <row r="339">
      <c r="A339" s="4" t="s">
        <v>314</v>
      </c>
      <c r="B339" s="5" t="n">
        <v>46239</v>
      </c>
      <c r="C339" s="5"/>
      <c r="D339" s="6" t="str">
        <f>IF(OR(C339="",B339=""),"",B339-C339)</f>
      </c>
      <c r="E339" s="7" t="n">
        <v>9180454.05640543</v>
      </c>
      <c r="F339" s="9" t="n">
        <v>51.9935829713973</v>
      </c>
      <c r="G339" s="8" t="n">
        <v>5558845.07358805</v>
      </c>
      <c r="H339" s="10" t="n">
        <v>31.48256837657</v>
      </c>
      <c r="I339" s="13" t="str">
        <f>=HYPERLINK("https://ucloud.univie.ac.at/index.php/f/1576432618","Open Cytogram")</f>
      </c>
      <c r="J339" s="2" t="s">
        <v>314</v>
      </c>
      <c r="K339" t="s">
        <v>314</v>
      </c>
      <c r="L339" t="s">
        <v>314</v>
      </c>
      <c r="M339" t="s">
        <v>363</v>
      </c>
    </row>
    <row r="340">
      <c r="A340" s="16" t="s">
        <v>314</v>
      </c>
      <c r="B340" s="17" t="n">
        <v>46244</v>
      </c>
      <c r="C340" s="17"/>
      <c r="D340" s="18" t="str">
        <f>IF(OR(C340="",B340=""),"",B340-C340)</f>
      </c>
      <c r="E340" s="19" t="n">
        <v>5884941.87631407</v>
      </c>
      <c r="F340" s="21" t="n">
        <v>45.0330425588158</v>
      </c>
      <c r="G340" s="20" t="n">
        <v>3386017.86050895</v>
      </c>
      <c r="H340" s="22" t="n">
        <v>25.9106529209622</v>
      </c>
      <c r="I340" s="23" t="str">
        <f>=HYPERLINK("https://ucloud.univie.ac.at/index.php/f/1576432618","Open Cytogram")</f>
      </c>
      <c r="J340" s="14" t="s">
        <v>314</v>
      </c>
      <c r="K340" s="15" t="s">
        <v>314</v>
      </c>
      <c r="L340" s="15" t="s">
        <v>314</v>
      </c>
      <c r="M340" s="15" t="s">
        <v>363</v>
      </c>
    </row>
    <row r="341">
      <c r="A341" s="4" t="s">
        <v>490</v>
      </c>
      <c r="B341" s="5" t="n">
        <v>46233</v>
      </c>
      <c r="C341" s="5"/>
      <c r="D341" s="6" t="str">
        <f>IF(OR(C341="",B341=""),"",B341-C341)</f>
      </c>
      <c r="E341" s="7" t="n">
        <v>100678.038032028</v>
      </c>
      <c r="F341" s="9" t="n">
        <v>42.1803652968037</v>
      </c>
      <c r="G341" s="8" t="n">
        <v>34740.0537187646</v>
      </c>
      <c r="H341" s="10" t="n">
        <v>14.5547945205479</v>
      </c>
      <c r="I341" s="13" t="str">
        <f>=HYPERLINK("https://ucloud.univie.ac.at/index.php/f/1576432618","Open Cytogram")</f>
      </c>
      <c r="J341" s="2" t="s">
        <v>314</v>
      </c>
      <c r="K341" t="s">
        <v>314</v>
      </c>
      <c r="L341" t="s">
        <v>314</v>
      </c>
      <c r="M341" t="s">
        <v>363</v>
      </c>
    </row>
    <row r="342">
      <c r="A342" s="4" t="s">
        <v>314</v>
      </c>
      <c r="B342" s="5" t="n">
        <v>46239</v>
      </c>
      <c r="C342" s="5"/>
      <c r="D342" s="6" t="str">
        <f>IF(OR(C342="",B342=""),"",B342-C342)</f>
      </c>
      <c r="E342" s="7" t="n">
        <v>296312.222895346</v>
      </c>
      <c r="F342" s="9" t="n">
        <v>39.8899587345255</v>
      </c>
      <c r="G342" s="8" t="n">
        <v>126699.019444907</v>
      </c>
      <c r="H342" s="10" t="n">
        <v>17.0563961485557</v>
      </c>
      <c r="I342" s="13" t="str">
        <f>=HYPERLINK("https://ucloud.univie.ac.at/index.php/f/1576432618","Open Cytogram")</f>
      </c>
      <c r="J342" s="2" t="s">
        <v>314</v>
      </c>
      <c r="K342" s="3" t="s">
        <v>314</v>
      </c>
      <c r="L342" s="3" t="s">
        <v>314</v>
      </c>
      <c r="M342" s="3" t="s">
        <v>363</v>
      </c>
    </row>
    <row r="343">
      <c r="A343" s="16" t="s">
        <v>314</v>
      </c>
      <c r="B343" s="17" t="n">
        <v>46244</v>
      </c>
      <c r="C343" s="17"/>
      <c r="D343" s="18" t="str">
        <f>IF(OR(C343="",B343=""),"",B343-C343)</f>
      </c>
      <c r="E343" s="19" t="n">
        <v>445353.865124084</v>
      </c>
      <c r="F343" s="21" t="n">
        <v>36.9253360442788</v>
      </c>
      <c r="G343" s="20" t="n">
        <v>327646.388994623</v>
      </c>
      <c r="H343" s="22" t="n">
        <v>27.1659324522761</v>
      </c>
      <c r="I343" s="23" t="str">
        <f>=HYPERLINK("https://ucloud.univie.ac.at/index.php/f/1576432618","Open Cytogram")</f>
      </c>
      <c r="J343" s="14" t="s">
        <v>314</v>
      </c>
      <c r="K343" s="24" t="s">
        <v>314</v>
      </c>
      <c r="L343" s="24" t="s">
        <v>314</v>
      </c>
      <c r="M343" s="24" t="s">
        <v>363</v>
      </c>
    </row>
    <row r="344">
      <c r="A344" s="4" t="s">
        <v>491</v>
      </c>
      <c r="B344" s="5" t="n">
        <v>46239</v>
      </c>
      <c r="C344" s="5"/>
      <c r="D344" s="6" t="str">
        <f>IF(OR(C344="",B344=""),"",B344-C344)</f>
      </c>
      <c r="E344" s="7" t="n">
        <v>1755394.47908346</v>
      </c>
      <c r="F344" s="9" t="n">
        <v>41.2821991541715</v>
      </c>
      <c r="G344" s="8" t="n">
        <v>2116691.03775862</v>
      </c>
      <c r="H344" s="10" t="n">
        <v>49.7789311803153</v>
      </c>
      <c r="I344" s="13" t="str">
        <f>=HYPERLINK("https://ucloud.univie.ac.at/index.php/f/1576432618","Open Cytogram")</f>
      </c>
      <c r="J344" s="2" t="s">
        <v>314</v>
      </c>
      <c r="K344" s="3" t="s">
        <v>314</v>
      </c>
      <c r="L344" s="3" t="s">
        <v>314</v>
      </c>
      <c r="M344" s="3" t="s">
        <v>363</v>
      </c>
    </row>
    <row r="345">
      <c r="A345" s="16" t="s">
        <v>314</v>
      </c>
      <c r="B345" s="17" t="n">
        <v>46246</v>
      </c>
      <c r="C345" s="17"/>
      <c r="D345" s="18" t="str">
        <f>IF(OR(C345="",B345=""),"",B345-C345)</f>
      </c>
      <c r="E345" s="19" t="n">
        <v>4182139.2611578</v>
      </c>
      <c r="F345" s="21" t="n">
        <v>21.875</v>
      </c>
      <c r="G345" s="20" t="n">
        <v>11225643.344752</v>
      </c>
      <c r="H345" s="22" t="n">
        <v>58.7165880503145</v>
      </c>
      <c r="I345" s="23" t="str">
        <f>=HYPERLINK("https://ucloud.univie.ac.at/index.php/f/1576432618","Open Cytogram")</f>
      </c>
      <c r="J345" s="14" t="s">
        <v>314</v>
      </c>
      <c r="K345" s="24" t="s">
        <v>314</v>
      </c>
      <c r="L345" s="24" t="s">
        <v>314</v>
      </c>
      <c r="M345" s="24" t="s">
        <v>363</v>
      </c>
    </row>
    <row r="346">
      <c r="A346" s="4" t="s">
        <v>492</v>
      </c>
      <c r="B346" s="5" t="n">
        <v>46239</v>
      </c>
      <c r="C346" s="5"/>
      <c r="D346" s="6" t="str">
        <f>IF(OR(C346="",B346=""),"",B346-C346)</f>
      </c>
      <c r="E346" s="7" t="n">
        <v>1420050.7840688</v>
      </c>
      <c r="F346" s="9" t="n">
        <v>36.2928918368413</v>
      </c>
      <c r="G346" s="8" t="n">
        <v>2229494.03571602</v>
      </c>
      <c r="H346" s="10" t="n">
        <v>56.9802057763618</v>
      </c>
      <c r="I346" s="13" t="str">
        <f>=HYPERLINK("https://ucloud.univie.ac.at/index.php/f/1576432618","Open Cytogram")</f>
      </c>
      <c r="J346" s="2" t="s">
        <v>314</v>
      </c>
      <c r="K346" s="3" t="s">
        <v>314</v>
      </c>
      <c r="L346" s="3" t="s">
        <v>314</v>
      </c>
      <c r="M346" s="3" t="s">
        <v>363</v>
      </c>
    </row>
    <row r="347">
      <c r="A347" s="16" t="s">
        <v>314</v>
      </c>
      <c r="B347" s="17" t="n">
        <v>46246</v>
      </c>
      <c r="C347" s="17"/>
      <c r="D347" s="18" t="str">
        <f>IF(OR(C347="",B347=""),"",B347-C347)</f>
      </c>
      <c r="E347" s="19" t="n">
        <v>4148321.4234665</v>
      </c>
      <c r="F347" s="21" t="n">
        <v>24.0732664631487</v>
      </c>
      <c r="G347" s="20" t="n">
        <v>10296592.1926214</v>
      </c>
      <c r="H347" s="22" t="n">
        <v>59.7525076319232</v>
      </c>
      <c r="I347" s="23" t="str">
        <f>=HYPERLINK("https://ucloud.univie.ac.at/index.php/f/1576432618","Open Cytogram")</f>
      </c>
      <c r="J347" s="14" t="s">
        <v>314</v>
      </c>
      <c r="K347" s="24" t="s">
        <v>314</v>
      </c>
      <c r="L347" s="24" t="s">
        <v>314</v>
      </c>
      <c r="M347" s="24" t="s">
        <v>363</v>
      </c>
    </row>
    <row r="348">
      <c r="A348" s="4" t="s">
        <v>493</v>
      </c>
      <c r="B348" s="5" t="n">
        <v>46239</v>
      </c>
      <c r="C348" s="5"/>
      <c r="D348" s="6" t="str">
        <f>IF(OR(C348="",B348=""),"",B348-C348)</f>
      </c>
      <c r="E348" s="7" t="n">
        <v>1187292.42415308</v>
      </c>
      <c r="F348" s="9" t="n">
        <v>35.6616744414436</v>
      </c>
      <c r="G348" s="8" t="n">
        <v>1746198.58251085</v>
      </c>
      <c r="H348" s="10" t="n">
        <v>52.4490547507979</v>
      </c>
      <c r="I348" s="13" t="str">
        <f>=HYPERLINK("https://ucloud.univie.ac.at/index.php/f/1576432618","Open Cytogram")</f>
      </c>
      <c r="J348" s="2" t="s">
        <v>314</v>
      </c>
      <c r="K348" s="3" t="s">
        <v>314</v>
      </c>
      <c r="L348" s="3" t="s">
        <v>314</v>
      </c>
      <c r="M348" s="3" t="s">
        <v>363</v>
      </c>
    </row>
    <row r="349">
      <c r="A349" s="16" t="s">
        <v>314</v>
      </c>
      <c r="B349" s="17" t="n">
        <v>46246</v>
      </c>
      <c r="C349" s="17"/>
      <c r="D349" s="18" t="str">
        <f>IF(OR(C349="",B349=""),"",B349-C349)</f>
      </c>
      <c r="E349" s="19" t="n">
        <v>1759984.68043631</v>
      </c>
      <c r="F349" s="21" t="n">
        <v>36.0704687966557</v>
      </c>
      <c r="G349" s="20" t="n">
        <v>1507205.42376768</v>
      </c>
      <c r="H349" s="22" t="n">
        <v>30.8898178560764</v>
      </c>
      <c r="I349" s="23" t="str">
        <f>=HYPERLINK("https://ucloud.univie.ac.at/index.php/f/1576432618","Open Cytogram")</f>
      </c>
      <c r="J349" s="14" t="s">
        <v>314</v>
      </c>
      <c r="K349" s="24" t="s">
        <v>314</v>
      </c>
      <c r="L349" s="24" t="s">
        <v>314</v>
      </c>
      <c r="M349" s="24" t="s">
        <v>363</v>
      </c>
    </row>
    <row r="350">
      <c r="A350" s="4" t="s">
        <v>494</v>
      </c>
      <c r="B350" s="5" t="n">
        <v>46239</v>
      </c>
      <c r="C350" s="5"/>
      <c r="D350" s="6" t="str">
        <f>IF(OR(C350="",B350=""),"",B350-C350)</f>
      </c>
      <c r="E350" s="7" t="n">
        <v>1202005.85866926</v>
      </c>
      <c r="F350" s="9" t="n">
        <v>31.3706666666667</v>
      </c>
      <c r="G350" s="8" t="n">
        <v>2343114.4467021</v>
      </c>
      <c r="H350" s="10" t="n">
        <v>61.152</v>
      </c>
      <c r="I350" s="13" t="str">
        <f>=HYPERLINK("https://ucloud.univie.ac.at/index.php/f/1576432618","Open Cytogram")</f>
      </c>
      <c r="J350" s="2" t="s">
        <v>314</v>
      </c>
      <c r="K350" s="3" t="s">
        <v>314</v>
      </c>
      <c r="L350" s="3" t="s">
        <v>314</v>
      </c>
      <c r="M350" s="3" t="s">
        <v>363</v>
      </c>
    </row>
    <row r="351">
      <c r="A351" s="16" t="s">
        <v>314</v>
      </c>
      <c r="B351" s="17" t="n">
        <v>46246</v>
      </c>
      <c r="C351" s="17"/>
      <c r="D351" s="18" t="str">
        <f>IF(OR(C351="",B351=""),"",B351-C351)</f>
      </c>
      <c r="E351" s="19" t="n">
        <v>6613456.1034589</v>
      </c>
      <c r="F351" s="21" t="n">
        <v>48.1401085347805</v>
      </c>
      <c r="G351" s="20" t="n">
        <v>5668224.82871435</v>
      </c>
      <c r="H351" s="22" t="n">
        <v>41.2596612399276</v>
      </c>
      <c r="I351" s="23" t="str">
        <f>=HYPERLINK("https://ucloud.univie.ac.at/index.php/f/1576432618","Open Cytogram")</f>
      </c>
      <c r="J351" s="14" t="s">
        <v>314</v>
      </c>
      <c r="K351" s="24" t="s">
        <v>314</v>
      </c>
      <c r="L351" s="24" t="s">
        <v>314</v>
      </c>
      <c r="M351" s="24" t="s">
        <v>363</v>
      </c>
    </row>
    <row r="352">
      <c r="A352" s="4" t="s">
        <v>495</v>
      </c>
      <c r="B352" s="5" t="n">
        <v>46239</v>
      </c>
      <c r="C352" s="5"/>
      <c r="D352" s="6" t="str">
        <f>IF(OR(C352="",B352=""),"",B352-C352)</f>
      </c>
      <c r="E352" s="7" t="n">
        <v>1485648.17962011</v>
      </c>
      <c r="F352" s="9" t="n">
        <v>34.2133747470469</v>
      </c>
      <c r="G352" s="8" t="n">
        <v>2471652.64546153</v>
      </c>
      <c r="H352" s="10" t="n">
        <v>56.9203256623841</v>
      </c>
      <c r="I352" s="13" t="str">
        <f>=HYPERLINK("https://ucloud.univie.ac.at/index.php/f/1576432618","Open Cytogram")</f>
      </c>
      <c r="J352" s="2" t="s">
        <v>314</v>
      </c>
      <c r="K352" s="3" t="s">
        <v>314</v>
      </c>
      <c r="L352" s="3" t="s">
        <v>314</v>
      </c>
      <c r="M352" s="3" t="s">
        <v>363</v>
      </c>
    </row>
    <row r="353">
      <c r="A353" s="16" t="s">
        <v>314</v>
      </c>
      <c r="B353" s="17" t="n">
        <v>46246</v>
      </c>
      <c r="C353" s="17"/>
      <c r="D353" s="18" t="str">
        <f>IF(OR(C353="",B353=""),"",B353-C353)</f>
      </c>
      <c r="E353" s="19" t="n">
        <v>8857472.57012627</v>
      </c>
      <c r="F353" s="21" t="n">
        <v>51.1193794538689</v>
      </c>
      <c r="G353" s="20" t="n">
        <v>5334042.97447217</v>
      </c>
      <c r="H353" s="22" t="n">
        <v>30.7845115721763</v>
      </c>
      <c r="I353" s="23" t="str">
        <f>=HYPERLINK("https://ucloud.univie.ac.at/index.php/f/1576432618","Open Cytogram")</f>
      </c>
      <c r="J353" s="14" t="s">
        <v>314</v>
      </c>
      <c r="K353" s="24" t="s">
        <v>314</v>
      </c>
      <c r="L353" s="24" t="s">
        <v>314</v>
      </c>
      <c r="M353" s="24" t="s">
        <v>363</v>
      </c>
    </row>
    <row r="354">
      <c r="A354" s="4" t="s">
        <v>496</v>
      </c>
      <c r="B354" s="5" t="n">
        <v>46239</v>
      </c>
      <c r="C354" s="5"/>
      <c r="D354" s="6" t="str">
        <f>IF(OR(C354="",B354=""),"",B354-C354)</f>
      </c>
      <c r="E354" s="7" t="n">
        <v>903241.396687883</v>
      </c>
      <c r="F354" s="9" t="n">
        <v>36.4445910290238</v>
      </c>
      <c r="G354" s="8" t="n">
        <v>1288651.639709</v>
      </c>
      <c r="H354" s="10" t="n">
        <v>51.995382585752</v>
      </c>
      <c r="I354" s="13" t="str">
        <f>=HYPERLINK("https://ucloud.univie.ac.at/index.php/f/1576432618","Open Cytogram")</f>
      </c>
      <c r="J354" s="2" t="s">
        <v>314</v>
      </c>
      <c r="K354" s="3" t="s">
        <v>314</v>
      </c>
      <c r="L354" s="3" t="s">
        <v>314</v>
      </c>
      <c r="M354" s="3" t="s">
        <v>363</v>
      </c>
    </row>
    <row r="355">
      <c r="A355" s="16" t="s">
        <v>314</v>
      </c>
      <c r="B355" s="17" t="n">
        <v>46246</v>
      </c>
      <c r="C355" s="17"/>
      <c r="D355" s="18" t="str">
        <f>IF(OR(C355="",B355=""),"",B355-C355)</f>
      </c>
      <c r="E355" s="19" t="n">
        <v>11512747.4708673</v>
      </c>
      <c r="F355" s="21" t="n">
        <v>49.9833957967646</v>
      </c>
      <c r="G355" s="20" t="n">
        <v>7963639.29078217</v>
      </c>
      <c r="H355" s="22" t="n">
        <v>34.5746951942692</v>
      </c>
      <c r="I355" s="23" t="str">
        <f>=HYPERLINK("https://ucloud.univie.ac.at/index.php/f/1576432618","Open Cytogram")</f>
      </c>
      <c r="J355" s="14" t="s">
        <v>314</v>
      </c>
      <c r="K355" s="24" t="s">
        <v>314</v>
      </c>
      <c r="L355" s="24" t="s">
        <v>314</v>
      </c>
      <c r="M355" s="24" t="s">
        <v>363</v>
      </c>
    </row>
    <row r="356">
      <c r="A356" s="4" t="s">
        <v>497</v>
      </c>
      <c r="B356" s="5" t="n">
        <v>46218</v>
      </c>
      <c r="C356" s="5"/>
      <c r="D356" s="6" t="str">
        <f>IF(OR(C356="",B356=""),"",B356-C356)</f>
      </c>
      <c r="E356" s="7" t="n">
        <v>2354682.64893889</v>
      </c>
      <c r="F356" s="9" t="n">
        <v>33.6365323927975</v>
      </c>
      <c r="G356" s="8" t="n">
        <v>3632084.99105088</v>
      </c>
      <c r="H356" s="10" t="n">
        <v>51.8841655838129</v>
      </c>
      <c r="I356" s="13" t="str">
        <f>=HYPERLINK("https://ucloud.univie.ac.at/index.php/f/1557416265","Open Cytogram")</f>
      </c>
      <c r="J356" s="2" t="s">
        <v>314</v>
      </c>
      <c r="K356" s="3" t="s">
        <v>314</v>
      </c>
      <c r="L356" s="3" t="s">
        <v>314</v>
      </c>
      <c r="M356" s="3" t="s">
        <v>498</v>
      </c>
    </row>
    <row r="357">
      <c r="A357" s="4" t="s">
        <v>314</v>
      </c>
      <c r="B357" s="5" t="n">
        <v>46231</v>
      </c>
      <c r="C357" s="5"/>
      <c r="D357" s="6" t="str">
        <f>IF(OR(C357="",B357=""),"",B357-C357)</f>
      </c>
      <c r="E357" s="7" t="n">
        <v>3040711.90610064</v>
      </c>
      <c r="F357" s="9" t="n">
        <v>13.0516027023142</v>
      </c>
      <c r="G357" s="8" t="n">
        <v>19285748.7524599</v>
      </c>
      <c r="H357" s="10" t="n">
        <v>82.7799338795458</v>
      </c>
      <c r="I357" s="13" t="str">
        <f>=HYPERLINK("https://ucloud.univie.ac.at/index.php/f/1563062920","Open Cytogram")</f>
      </c>
      <c r="J357" s="2" t="s">
        <v>314</v>
      </c>
      <c r="K357" t="s">
        <v>314</v>
      </c>
      <c r="L357" t="s">
        <v>314</v>
      </c>
      <c r="M357" t="s">
        <v>396</v>
      </c>
    </row>
    <row r="358">
      <c r="A358" s="4" t="s">
        <v>314</v>
      </c>
      <c r="B358" s="5" t="n">
        <v>46238</v>
      </c>
      <c r="C358" s="5"/>
      <c r="D358" s="6" t="str">
        <f>IF(OR(C358="",B358=""),"",B358-C358)</f>
      </c>
      <c r="E358" s="7" t="n">
        <v>802427.355891105</v>
      </c>
      <c r="F358" s="9" t="n">
        <v>4.2024202420242</v>
      </c>
      <c r="G358" s="8" t="n">
        <v>17871263.557494</v>
      </c>
      <c r="H358" s="10" t="n">
        <v>93.5942165645136</v>
      </c>
      <c r="I358" s="13" t="str">
        <f>=HYPERLINK("https://ucloud.univie.ac.at/index.php/f/1567854609","Open Cytogram")</f>
      </c>
      <c r="J358" s="2" t="s">
        <v>314</v>
      </c>
      <c r="K358" s="3" t="s">
        <v>314</v>
      </c>
      <c r="L358" s="3" t="s">
        <v>314</v>
      </c>
      <c r="M358" s="3" t="s">
        <v>362</v>
      </c>
    </row>
    <row r="359">
      <c r="A359" s="16" t="s">
        <v>314</v>
      </c>
      <c r="B359" s="17" t="n">
        <v>46247</v>
      </c>
      <c r="C359" s="17"/>
      <c r="D359" s="18" t="str">
        <f>IF(OR(C359="",B359=""),"",B359-C359)</f>
      </c>
      <c r="E359" s="19" t="n">
        <v>6443175.3860654</v>
      </c>
      <c r="F359" s="21" t="n">
        <v>25.1727488663356</v>
      </c>
      <c r="G359" s="20" t="n">
        <v>16253023.9070543</v>
      </c>
      <c r="H359" s="22" t="n">
        <v>63.4987043835025</v>
      </c>
      <c r="I359" s="23" t="str">
        <f>=HYPERLINK("https://ucloud.univie.ac.at/index.php/f/1576432618","Open Cytogram")</f>
      </c>
      <c r="J359" s="14" t="s">
        <v>314</v>
      </c>
      <c r="K359" s="24" t="s">
        <v>314</v>
      </c>
      <c r="L359" s="24" t="s">
        <v>314</v>
      </c>
      <c r="M359" s="24" t="s">
        <v>363</v>
      </c>
    </row>
    <row r="360">
      <c r="A360" s="16" t="s">
        <v>499</v>
      </c>
      <c r="B360" s="17" t="n">
        <v>46247</v>
      </c>
      <c r="C360" s="17"/>
      <c r="D360" s="18" t="str">
        <f>IF(OR(C360="",B360=""),"",B360-C360)</f>
      </c>
      <c r="E360" s="19" t="n">
        <v>8497861.59646197</v>
      </c>
      <c r="F360" s="21" t="n">
        <v>35.2062283538942</v>
      </c>
      <c r="G360" s="20" t="n">
        <v>12942312.2997172</v>
      </c>
      <c r="H360" s="22" t="n">
        <v>53.6193720124796</v>
      </c>
      <c r="I360" s="23" t="str">
        <f>=HYPERLINK("https://ucloud.univie.ac.at/index.php/f/1576432618","Open Cytogram")</f>
      </c>
      <c r="J360" s="14" t="s">
        <v>314</v>
      </c>
      <c r="K360" s="15" t="s">
        <v>314</v>
      </c>
      <c r="L360" s="15" t="s">
        <v>314</v>
      </c>
      <c r="M360" s="15" t="s">
        <v>363</v>
      </c>
    </row>
    <row r="361">
      <c r="A361" s="16" t="s">
        <v>500</v>
      </c>
      <c r="B361" s="17" t="n">
        <v>46218</v>
      </c>
      <c r="C361" s="17"/>
      <c r="D361" s="18" t="str">
        <f>IF(OR(C361="",B361=""),"",B361-C361)</f>
      </c>
      <c r="E361" s="19" t="n">
        <v>15514620.5775086</v>
      </c>
      <c r="F361" s="21" t="n">
        <v>51.007743270064</v>
      </c>
      <c r="G361" s="20" t="n">
        <v>12070233.6668117</v>
      </c>
      <c r="H361" s="22" t="n">
        <v>39.6835602269868</v>
      </c>
      <c r="I361" s="23" t="str">
        <f>=HYPERLINK("https://ucloud.univie.ac.at/index.php/f/1557416265","Open Cytogram")</f>
      </c>
      <c r="J361" s="14" t="s">
        <v>314</v>
      </c>
      <c r="K361" s="24" t="s">
        <v>314</v>
      </c>
      <c r="L361" s="24" t="s">
        <v>314</v>
      </c>
      <c r="M361" s="24" t="s">
        <v>498</v>
      </c>
    </row>
    <row r="362">
      <c r="A362" s="16" t="s">
        <v>501</v>
      </c>
      <c r="B362" s="17" t="n">
        <v>46189</v>
      </c>
      <c r="C362" s="17"/>
      <c r="D362" s="18" t="str">
        <f>IF(OR(C362="",B362=""),"",B362-C362)</f>
      </c>
      <c r="E362" s="19" t="n">
        <v>419026.608269932</v>
      </c>
      <c r="F362" s="21" t="n">
        <v>12.1918290678563</v>
      </c>
      <c r="G362" s="20" t="n">
        <v>1049684.85451539</v>
      </c>
      <c r="H362" s="22" t="n">
        <v>30.5412068560695</v>
      </c>
      <c r="I362" s="23" t="str">
        <f>=HYPERLINK("https://ucloud.univie.ac.at/index.php/f/1537345531","Open Cytogram")</f>
      </c>
      <c r="J362" s="14" t="s">
        <v>314</v>
      </c>
      <c r="K362" s="15" t="s">
        <v>314</v>
      </c>
      <c r="L362" s="15" t="s">
        <v>314</v>
      </c>
      <c r="M362" s="15" t="s">
        <v>343</v>
      </c>
    </row>
    <row r="363">
      <c r="A363" s="16" t="s">
        <v>502</v>
      </c>
      <c r="B363" s="17" t="n">
        <v>46189</v>
      </c>
      <c r="C363" s="17"/>
      <c r="D363" s="18" t="str">
        <f>IF(OR(C363="",B363=""),"",B363-C363)</f>
      </c>
      <c r="E363" s="19" t="n">
        <v>95224.1497849822</v>
      </c>
      <c r="F363" s="21" t="n">
        <v>9.13843175217812</v>
      </c>
      <c r="G363" s="20" t="n">
        <v>396431.047304004</v>
      </c>
      <c r="H363" s="22" t="n">
        <v>38.0445304937077</v>
      </c>
      <c r="I363" s="23" t="str">
        <f>=HYPERLINK("https://ucloud.univie.ac.at/index.php/f/1537345531","Open Cytogram")</f>
      </c>
      <c r="J363" s="14" t="s">
        <v>314</v>
      </c>
      <c r="K363" s="24" t="s">
        <v>314</v>
      </c>
      <c r="L363" s="24" t="s">
        <v>314</v>
      </c>
      <c r="M363" s="24" t="s">
        <v>343</v>
      </c>
    </row>
    <row r="364">
      <c r="A364" s="16" t="s">
        <v>503</v>
      </c>
      <c r="B364" s="17" t="n">
        <v>46189</v>
      </c>
      <c r="C364" s="17"/>
      <c r="D364" s="18" t="str">
        <f>IF(OR(C364="",B364=""),"",B364-C364)</f>
      </c>
      <c r="E364" s="19" t="n">
        <v>224745.133178962</v>
      </c>
      <c r="F364" s="21" t="n">
        <v>10.8481838543188</v>
      </c>
      <c r="G364" s="20" t="n">
        <v>320776.267284156</v>
      </c>
      <c r="H364" s="22" t="n">
        <v>15.4834940111014</v>
      </c>
      <c r="I364" s="23" t="str">
        <f>=HYPERLINK("https://ucloud.univie.ac.at/index.php/f/1537345531","Open Cytogram")</f>
      </c>
      <c r="J364" s="14" t="s">
        <v>314</v>
      </c>
      <c r="K364" s="15" t="s">
        <v>314</v>
      </c>
      <c r="L364" s="15" t="s">
        <v>314</v>
      </c>
      <c r="M364" s="15" t="s">
        <v>343</v>
      </c>
    </row>
    <row r="365">
      <c r="A365" s="16" t="s">
        <v>504</v>
      </c>
      <c r="B365" s="17" t="n">
        <v>46195</v>
      </c>
      <c r="C365" s="17"/>
      <c r="D365" s="18" t="str">
        <f>IF(OR(C365="",B365=""),"",B365-C365)</f>
      </c>
      <c r="E365" s="19" t="n">
        <v>402281.683625539</v>
      </c>
      <c r="F365" s="21" t="n">
        <v>10.3278603615269</v>
      </c>
      <c r="G365" s="20" t="n">
        <v>1236905.2168045</v>
      </c>
      <c r="H365" s="22" t="n">
        <v>31.7553219039727</v>
      </c>
      <c r="I365" s="23" t="str">
        <f>=HYPERLINK("https://ucloud.univie.ac.at/index.php/f/1537345531","Open Cytogram")</f>
      </c>
      <c r="J365" s="14" t="s">
        <v>314</v>
      </c>
      <c r="K365" s="24" t="s">
        <v>314</v>
      </c>
      <c r="L365" s="24" t="s">
        <v>314</v>
      </c>
      <c r="M365" s="24" t="s">
        <v>343</v>
      </c>
    </row>
    <row r="366">
      <c r="A366" s="16" t="s">
        <v>505</v>
      </c>
      <c r="B366" s="17" t="n">
        <v>46195</v>
      </c>
      <c r="C366" s="17"/>
      <c r="D366" s="18" t="str">
        <f>IF(OR(C366="",B366=""),"",B366-C366)</f>
      </c>
      <c r="E366" s="19" t="n">
        <v>174712.105325836</v>
      </c>
      <c r="F366" s="21" t="n">
        <v>7.30247069736065</v>
      </c>
      <c r="G366" s="20" t="n">
        <v>624202.37168376</v>
      </c>
      <c r="H366" s="22" t="n">
        <v>26.089889535374</v>
      </c>
      <c r="I366" s="23" t="str">
        <f>=HYPERLINK("https://ucloud.univie.ac.at/index.php/f/1537345531","Open Cytogram")</f>
      </c>
      <c r="J366" s="14" t="s">
        <v>314</v>
      </c>
      <c r="K366" s="15" t="s">
        <v>314</v>
      </c>
      <c r="L366" s="15" t="s">
        <v>314</v>
      </c>
      <c r="M366" s="15" t="s">
        <v>343</v>
      </c>
    </row>
    <row r="367">
      <c r="A367" s="4" t="s">
        <v>506</v>
      </c>
      <c r="B367" s="5" t="n">
        <v>46239</v>
      </c>
      <c r="C367" s="5"/>
      <c r="D367" s="6" t="str">
        <f>IF(OR(C367="",B367=""),"",B367-C367)</f>
      </c>
      <c r="E367" s="7" t="n">
        <v>1314808.85662666</v>
      </c>
      <c r="F367" s="9" t="n">
        <v>32.8768523249872</v>
      </c>
      <c r="G367" s="8" t="n">
        <v>2091964.29364114</v>
      </c>
      <c r="H367" s="10" t="n">
        <v>52.3096576392437</v>
      </c>
      <c r="I367" s="13" t="str">
        <f>=HYPERLINK("https://ucloud.univie.ac.at/index.php/f/1576432618","Open Cytogram")</f>
      </c>
      <c r="J367" s="2" t="s">
        <v>314</v>
      </c>
      <c r="K367" t="s">
        <v>314</v>
      </c>
      <c r="L367" t="s">
        <v>314</v>
      </c>
      <c r="M367" t="s">
        <v>363</v>
      </c>
    </row>
    <row r="368">
      <c r="A368" s="16" t="s">
        <v>314</v>
      </c>
      <c r="B368" s="17" t="n">
        <v>46246</v>
      </c>
      <c r="C368" s="17"/>
      <c r="D368" s="18" t="str">
        <f>IF(OR(C368="",B368=""),"",B368-C368)</f>
      </c>
      <c r="E368" s="19" t="n">
        <v>8761778.92409193</v>
      </c>
      <c r="F368" s="21" t="n">
        <v>39.3057492639083</v>
      </c>
      <c r="G368" s="20" t="n">
        <v>10562220.1696513</v>
      </c>
      <c r="H368" s="22" t="n">
        <v>47.3826127382613</v>
      </c>
      <c r="I368" s="23" t="str">
        <f>=HYPERLINK("https://ucloud.univie.ac.at/index.php/f/1576432618","Open Cytogram")</f>
      </c>
      <c r="J368" s="14" t="s">
        <v>314</v>
      </c>
      <c r="K368" s="15" t="s">
        <v>314</v>
      </c>
      <c r="L368" s="15" t="s">
        <v>314</v>
      </c>
      <c r="M368" s="15" t="s">
        <v>363</v>
      </c>
    </row>
    <row r="369">
      <c r="A369" s="4" t="s">
        <v>507</v>
      </c>
      <c r="B369" s="5" t="n">
        <v>46239</v>
      </c>
      <c r="C369" s="5"/>
      <c r="D369" s="6" t="str">
        <f>IF(OR(C369="",B369=""),"",B369-C369)</f>
      </c>
      <c r="E369" s="7" t="n">
        <v>1218354.1192428</v>
      </c>
      <c r="F369" s="9" t="n">
        <v>34.1348906446811</v>
      </c>
      <c r="G369" s="8" t="n">
        <v>1778486.39714358</v>
      </c>
      <c r="H369" s="10" t="n">
        <v>49.8282377189969</v>
      </c>
      <c r="I369" s="13" t="str">
        <f>=HYPERLINK("https://ucloud.univie.ac.at/index.php/f/1576432618","Open Cytogram")</f>
      </c>
      <c r="J369" s="2" t="s">
        <v>314</v>
      </c>
      <c r="K369" t="s">
        <v>314</v>
      </c>
      <c r="L369" t="s">
        <v>314</v>
      </c>
      <c r="M369" t="s">
        <v>363</v>
      </c>
    </row>
    <row r="370">
      <c r="A370" s="16" t="s">
        <v>314</v>
      </c>
      <c r="B370" s="17" t="n">
        <v>46246</v>
      </c>
      <c r="C370" s="17"/>
      <c r="D370" s="18" t="str">
        <f>IF(OR(C370="",B370=""),"",B370-C370)</f>
      </c>
      <c r="E370" s="19" t="n">
        <v>7230205.95528792</v>
      </c>
      <c r="F370" s="21" t="n">
        <v>47.4541087156371</v>
      </c>
      <c r="G370" s="20" t="n">
        <v>5793833.95604656</v>
      </c>
      <c r="H370" s="22" t="n">
        <v>38.0267489101747</v>
      </c>
      <c r="I370" s="23" t="str">
        <f>=HYPERLINK("https://ucloud.univie.ac.at/index.php/f/1576432618","Open Cytogram")</f>
      </c>
      <c r="J370" s="14" t="s">
        <v>314</v>
      </c>
      <c r="K370" s="15" t="s">
        <v>314</v>
      </c>
      <c r="L370" s="15" t="s">
        <v>314</v>
      </c>
      <c r="M370" s="15" t="s">
        <v>363</v>
      </c>
    </row>
    <row r="371">
      <c r="A371" s="4" t="s">
        <v>508</v>
      </c>
      <c r="B371" s="5" t="n">
        <v>46239</v>
      </c>
      <c r="C371" s="5"/>
      <c r="D371" s="6" t="str">
        <f>IF(OR(C371="",B371=""),"",B371-C371)</f>
      </c>
      <c r="E371" s="7" t="n">
        <v>1239811.21124556</v>
      </c>
      <c r="F371" s="9" t="n">
        <v>37.1274707790221</v>
      </c>
      <c r="G371" s="8" t="n">
        <v>1496478.90225008</v>
      </c>
      <c r="H371" s="10" t="n">
        <v>44.8136588948045</v>
      </c>
      <c r="I371" s="13" t="str">
        <f>=HYPERLINK("https://ucloud.univie.ac.at/index.php/f/1576432618","Open Cytogram")</f>
      </c>
      <c r="J371" s="2" t="s">
        <v>314</v>
      </c>
      <c r="K371" t="s">
        <v>314</v>
      </c>
      <c r="L371" t="s">
        <v>314</v>
      </c>
      <c r="M371" t="s">
        <v>363</v>
      </c>
    </row>
    <row r="372">
      <c r="A372" s="16" t="s">
        <v>314</v>
      </c>
      <c r="B372" s="17" t="n">
        <v>46246</v>
      </c>
      <c r="C372" s="17"/>
      <c r="D372" s="18" t="str">
        <f>IF(OR(C372="",B372=""),"",B372-C372)</f>
      </c>
      <c r="E372" s="19" t="n">
        <v>1268011.96073491</v>
      </c>
      <c r="F372" s="21" t="n">
        <v>29.1766586730615</v>
      </c>
      <c r="G372" s="20" t="n">
        <v>2268525.50783534</v>
      </c>
      <c r="H372" s="22" t="n">
        <v>52.1982414068745</v>
      </c>
      <c r="I372" s="23" t="str">
        <f>=HYPERLINK("https://ucloud.univie.ac.at/index.php/f/1576432618","Open Cytogram")</f>
      </c>
      <c r="J372" s="14" t="s">
        <v>314</v>
      </c>
      <c r="K372" s="15" t="s">
        <v>314</v>
      </c>
      <c r="L372" s="15" t="s">
        <v>314</v>
      </c>
      <c r="M372" s="15" t="s">
        <v>363</v>
      </c>
    </row>
    <row r="373">
      <c r="A373" s="4" t="s">
        <v>509</v>
      </c>
      <c r="B373" s="5" t="n">
        <v>46239</v>
      </c>
      <c r="C373" s="5"/>
      <c r="D373" s="6" t="str">
        <f>IF(OR(C373="",B373=""),"",B373-C373)</f>
      </c>
      <c r="E373" s="7" t="n">
        <v>1143560.82711887</v>
      </c>
      <c r="F373" s="9" t="n">
        <v>38.500171998624</v>
      </c>
      <c r="G373" s="8" t="n">
        <v>1333609.35628623</v>
      </c>
      <c r="H373" s="10" t="n">
        <v>44.8985208118335</v>
      </c>
      <c r="I373" s="13" t="str">
        <f>=HYPERLINK("https://ucloud.univie.ac.at/index.php/f/1576432618","Open Cytogram")</f>
      </c>
      <c r="J373" s="2" t="s">
        <v>314</v>
      </c>
      <c r="K373" t="s">
        <v>314</v>
      </c>
      <c r="L373" t="s">
        <v>314</v>
      </c>
      <c r="M373" t="s">
        <v>363</v>
      </c>
    </row>
    <row r="374">
      <c r="A374" s="16" t="s">
        <v>314</v>
      </c>
      <c r="B374" s="17" t="n">
        <v>46246</v>
      </c>
      <c r="C374" s="17"/>
      <c r="D374" s="18" t="str">
        <f>IF(OR(C374="",B374=""),"",B374-C374)</f>
      </c>
      <c r="E374" s="19" t="n">
        <v>790234.045473313</v>
      </c>
      <c r="F374" s="21" t="n">
        <v>28.6508112913981</v>
      </c>
      <c r="G374" s="20" t="n">
        <v>1573520.08020287</v>
      </c>
      <c r="H374" s="22" t="n">
        <v>57.0497147514263</v>
      </c>
      <c r="I374" s="23" t="str">
        <f>=HYPERLINK("https://ucloud.univie.ac.at/index.php/f/1576432618","Open Cytogram")</f>
      </c>
      <c r="J374" s="14" t="s">
        <v>314</v>
      </c>
      <c r="K374" s="15" t="s">
        <v>314</v>
      </c>
      <c r="L374" s="15" t="s">
        <v>314</v>
      </c>
      <c r="M374" s="15" t="s">
        <v>363</v>
      </c>
    </row>
    <row r="375">
      <c r="A375" s="4" t="s">
        <v>510</v>
      </c>
      <c r="B375" s="5" t="n">
        <v>46239</v>
      </c>
      <c r="C375" s="5"/>
      <c r="D375" s="6" t="str">
        <f>IF(OR(C375="",B375=""),"",B375-C375)</f>
      </c>
      <c r="E375" s="7" t="n">
        <v>1442938.34887175</v>
      </c>
      <c r="F375" s="9" t="n">
        <v>46.2925326165345</v>
      </c>
      <c r="G375" s="8" t="n">
        <v>1053032.33419291</v>
      </c>
      <c r="H375" s="10" t="n">
        <v>33.7835179964597</v>
      </c>
      <c r="I375" s="13" t="str">
        <f>=HYPERLINK("https://ucloud.univie.ac.at/index.php/f/1576432618","Open Cytogram")</f>
      </c>
      <c r="J375" s="2" t="s">
        <v>314</v>
      </c>
      <c r="K375" t="s">
        <v>314</v>
      </c>
      <c r="L375" t="s">
        <v>314</v>
      </c>
      <c r="M375" t="s">
        <v>363</v>
      </c>
    </row>
    <row r="376">
      <c r="A376" s="16" t="s">
        <v>314</v>
      </c>
      <c r="B376" s="17" t="n">
        <v>46246</v>
      </c>
      <c r="C376" s="17"/>
      <c r="D376" s="18" t="str">
        <f>IF(OR(C376="",B376=""),"",B376-C376)</f>
      </c>
      <c r="E376" s="19" t="n">
        <v>1009913.79693021</v>
      </c>
      <c r="F376" s="21" t="n">
        <v>31.3578680203046</v>
      </c>
      <c r="G376" s="20" t="n">
        <v>1707167.11039153</v>
      </c>
      <c r="H376" s="22" t="n">
        <v>53.007614213198</v>
      </c>
      <c r="I376" s="23" t="str">
        <f>=HYPERLINK("https://ucloud.univie.ac.at/index.php/f/1576432618","Open Cytogram")</f>
      </c>
      <c r="J376" s="14" t="s">
        <v>314</v>
      </c>
      <c r="K376" s="15" t="s">
        <v>314</v>
      </c>
      <c r="L376" s="15" t="s">
        <v>314</v>
      </c>
      <c r="M376" s="15" t="s">
        <v>363</v>
      </c>
    </row>
    <row r="377">
      <c r="A377" s="4" t="s">
        <v>511</v>
      </c>
      <c r="B377" s="5" t="n">
        <v>46239</v>
      </c>
      <c r="C377" s="5"/>
      <c r="D377" s="6" t="str">
        <f>IF(OR(C377="",B377=""),"",B377-C377)</f>
      </c>
      <c r="E377" s="7" t="n">
        <v>1298869.30256746</v>
      </c>
      <c r="F377" s="9" t="n">
        <v>38.7254005970877</v>
      </c>
      <c r="G377" s="8" t="n">
        <v>1484830.76659144</v>
      </c>
      <c r="H377" s="10" t="n">
        <v>44.2697861451289</v>
      </c>
      <c r="I377" s="13" t="str">
        <f>=HYPERLINK("https://ucloud.univie.ac.at/index.php/f/1576432618","Open Cytogram")</f>
      </c>
      <c r="J377" s="2" t="s">
        <v>314</v>
      </c>
      <c r="K377" t="s">
        <v>314</v>
      </c>
      <c r="L377" t="s">
        <v>314</v>
      </c>
      <c r="M377" t="s">
        <v>363</v>
      </c>
    </row>
    <row r="378">
      <c r="A378" s="16" t="s">
        <v>314</v>
      </c>
      <c r="B378" s="17" t="n">
        <v>46246</v>
      </c>
      <c r="C378" s="17"/>
      <c r="D378" s="18" t="str">
        <f>IF(OR(C378="",B378=""),"",B378-C378)</f>
      </c>
      <c r="E378" s="19" t="n">
        <v>823543.626391893</v>
      </c>
      <c r="F378" s="21" t="n">
        <v>30.3738317757009</v>
      </c>
      <c r="G378" s="20" t="n">
        <v>1464599.79413169</v>
      </c>
      <c r="H378" s="22" t="n">
        <v>54.0171842025927</v>
      </c>
      <c r="I378" s="23" t="str">
        <f>=HYPERLINK("https://ucloud.univie.ac.at/index.php/f/1576432618","Open Cytogram")</f>
      </c>
      <c r="J378" s="14" t="s">
        <v>314</v>
      </c>
      <c r="K378" s="15" t="s">
        <v>314</v>
      </c>
      <c r="L378" s="15" t="s">
        <v>314</v>
      </c>
      <c r="M378" s="15" t="s">
        <v>363</v>
      </c>
    </row>
    <row r="379">
      <c r="A379" s="4" t="s">
        <v>512</v>
      </c>
      <c r="B379" s="5" t="n">
        <v>46239</v>
      </c>
      <c r="C379" s="5"/>
      <c r="D379" s="6" t="str">
        <f>IF(OR(C379="",B379=""),"",B379-C379)</f>
      </c>
      <c r="E379" s="7" t="n">
        <v>868501.342969118</v>
      </c>
      <c r="F379" s="9" t="n">
        <v>29.4566121430552</v>
      </c>
      <c r="G379" s="8" t="n">
        <v>1611529.78603634</v>
      </c>
      <c r="H379" s="10" t="n">
        <v>54.6576102023843</v>
      </c>
      <c r="I379" s="13" t="str">
        <f>=HYPERLINK("https://ucloud.univie.ac.at/index.php/f/1576432618","Open Cytogram")</f>
      </c>
      <c r="J379" s="2" t="s">
        <v>314</v>
      </c>
      <c r="K379" t="s">
        <v>314</v>
      </c>
      <c r="L379" t="s">
        <v>314</v>
      </c>
      <c r="M379" t="s">
        <v>363</v>
      </c>
    </row>
    <row r="380">
      <c r="A380" s="16" t="s">
        <v>314</v>
      </c>
      <c r="B380" s="17" t="n">
        <v>46246</v>
      </c>
      <c r="C380" s="17"/>
      <c r="D380" s="18" t="str">
        <f>IF(OR(C380="",B380=""),"",B380-C380)</f>
      </c>
      <c r="E380" s="19" t="n">
        <v>781446.855415037</v>
      </c>
      <c r="F380" s="21" t="n">
        <v>29.6227438221396</v>
      </c>
      <c r="G380" s="20" t="n">
        <v>1331361.47045737</v>
      </c>
      <c r="H380" s="22" t="n">
        <v>50.4686652722907</v>
      </c>
      <c r="I380" s="23" t="str">
        <f>=HYPERLINK("https://ucloud.univie.ac.at/index.php/f/1576432618","Open Cytogram")</f>
      </c>
      <c r="J380" s="14" t="s">
        <v>314</v>
      </c>
      <c r="K380" s="15" t="s">
        <v>314</v>
      </c>
      <c r="L380" s="15" t="s">
        <v>314</v>
      </c>
      <c r="M380" s="15" t="s">
        <v>363</v>
      </c>
    </row>
    <row r="381">
      <c r="A381" s="4" t="s">
        <v>513</v>
      </c>
      <c r="B381" s="5" t="n">
        <v>46198</v>
      </c>
      <c r="C381" s="5" t="n">
        <v>46191</v>
      </c>
      <c r="D381" s="6" t="str">
        <f>IF(OR(C381="",B381=""),"",B381-C381)</f>
      </c>
      <c r="E381" s="7" t="n">
        <v>4294074.05884132</v>
      </c>
      <c r="F381" s="9" t="n">
        <v>33.5287764233914</v>
      </c>
      <c r="G381" s="8" t="n">
        <v>6305747.96215493</v>
      </c>
      <c r="H381" s="10" t="n">
        <v>49.2362289770097</v>
      </c>
      <c r="I381" s="13" t="str">
        <f>=HYPERLINK("https://ucloud.univie.ac.at/index.php/f/1537345531","Open Cytogram")</f>
      </c>
      <c r="J381" s="2" t="s">
        <v>314</v>
      </c>
      <c r="K381" t="s">
        <v>314</v>
      </c>
      <c r="L381" t="s">
        <v>314</v>
      </c>
      <c r="M381" t="s">
        <v>343</v>
      </c>
    </row>
    <row r="382">
      <c r="A382" s="4" t="s">
        <v>314</v>
      </c>
      <c r="B382" s="5" t="n">
        <v>46205</v>
      </c>
      <c r="C382" s="5" t="n">
        <v>46191</v>
      </c>
      <c r="D382" s="6" t="str">
        <f>IF(OR(C382="",B382=""),"",B382-C382)</f>
      </c>
      <c r="E382" s="7" t="n">
        <v>5787032.30501847</v>
      </c>
      <c r="F382" s="9" t="n">
        <v>25.7326091626009</v>
      </c>
      <c r="G382" s="8" t="n">
        <v>15932626.0265045</v>
      </c>
      <c r="H382" s="10" t="n">
        <v>70.8459909785511</v>
      </c>
      <c r="I382" s="13" t="str">
        <f>=HYPERLINK("https://ucloud.univie.ac.at/index.php/f/1547933978","Open Cytogram")</f>
      </c>
      <c r="J382" s="2" t="s">
        <v>314</v>
      </c>
      <c r="K382" s="3" t="s">
        <v>314</v>
      </c>
      <c r="L382" s="3" t="s">
        <v>314</v>
      </c>
      <c r="M382" s="3" t="s">
        <v>345</v>
      </c>
    </row>
    <row r="383">
      <c r="A383" s="16" t="s">
        <v>314</v>
      </c>
      <c r="B383" s="17" t="n">
        <v>46212</v>
      </c>
      <c r="C383" s="17" t="n">
        <v>46191</v>
      </c>
      <c r="D383" s="18" t="str">
        <f>IF(OR(C383="",B383=""),"",B383-C383)</f>
      </c>
      <c r="E383" s="19" t="n">
        <v>7714300.84684942</v>
      </c>
      <c r="F383" s="21" t="n">
        <v>42.6482100918084</v>
      </c>
      <c r="G383" s="20" t="n">
        <v>8368262.43720395</v>
      </c>
      <c r="H383" s="22" t="n">
        <v>46.2636111308804</v>
      </c>
      <c r="I383" s="23" t="str">
        <f>=HYPERLINK("https://ucloud.univie.ac.at/index.php/f/1552579218","Open Cytogram")</f>
      </c>
      <c r="J383" s="14" t="s">
        <v>314</v>
      </c>
      <c r="K383" s="24" t="s">
        <v>314</v>
      </c>
      <c r="L383" s="24" t="s">
        <v>314</v>
      </c>
      <c r="M383" s="24" t="s">
        <v>347</v>
      </c>
    </row>
    <row r="384">
      <c r="A384" s="4" t="s">
        <v>514</v>
      </c>
      <c r="B384" s="5" t="n">
        <v>46198</v>
      </c>
      <c r="C384" s="5" t="n">
        <v>46191</v>
      </c>
      <c r="D384" s="6" t="str">
        <f>IF(OR(C384="",B384=""),"",B384-C384)</f>
      </c>
      <c r="E384" s="7" t="n">
        <v>2414140.42424505</v>
      </c>
      <c r="F384" s="9" t="n">
        <v>16.2549341375793</v>
      </c>
      <c r="G384" s="8" t="n">
        <v>11633324.4290837</v>
      </c>
      <c r="H384" s="10" t="n">
        <v>78.329711269792</v>
      </c>
      <c r="I384" s="13" t="str">
        <f>=HYPERLINK("https://ucloud.univie.ac.at/index.php/f/1537345531","Open Cytogram")</f>
      </c>
      <c r="J384" s="2" t="s">
        <v>314</v>
      </c>
      <c r="K384" s="3" t="s">
        <v>314</v>
      </c>
      <c r="L384" s="3" t="s">
        <v>314</v>
      </c>
      <c r="M384" s="3" t="s">
        <v>343</v>
      </c>
    </row>
    <row r="385">
      <c r="A385" s="4" t="s">
        <v>314</v>
      </c>
      <c r="B385" s="5" t="n">
        <v>46205</v>
      </c>
      <c r="C385" s="5" t="n">
        <v>46191</v>
      </c>
      <c r="D385" s="6" t="str">
        <f>IF(OR(C385="",B385=""),"",B385-C385)</f>
      </c>
      <c r="E385" s="7" t="n">
        <v>4295763.90397567</v>
      </c>
      <c r="F385" s="9" t="n">
        <v>21.3155732091494</v>
      </c>
      <c r="G385" s="8" t="n">
        <v>15228741.8205518</v>
      </c>
      <c r="H385" s="10" t="n">
        <v>75.56499109711</v>
      </c>
      <c r="I385" s="13" t="str">
        <f>=HYPERLINK("https://ucloud.univie.ac.at/index.php/f/1547933978","Open Cytogram")</f>
      </c>
      <c r="J385" s="2" t="s">
        <v>314</v>
      </c>
      <c r="K385" t="s">
        <v>314</v>
      </c>
      <c r="L385" t="s">
        <v>314</v>
      </c>
      <c r="M385" t="s">
        <v>345</v>
      </c>
    </row>
    <row r="386">
      <c r="A386" s="16" t="s">
        <v>314</v>
      </c>
      <c r="B386" s="17" t="n">
        <v>46212</v>
      </c>
      <c r="C386" s="17" t="n">
        <v>46191</v>
      </c>
      <c r="D386" s="18" t="str">
        <f>IF(OR(C386="",B386=""),"",B386-C386)</f>
      </c>
      <c r="E386" s="19" t="n">
        <v>8862595.60786564</v>
      </c>
      <c r="F386" s="21" t="n">
        <v>49.5430339666091</v>
      </c>
      <c r="G386" s="20" t="n">
        <v>4166430.48657958</v>
      </c>
      <c r="H386" s="22" t="n">
        <v>23.2908750719632</v>
      </c>
      <c r="I386" s="23" t="str">
        <f>=HYPERLINK("https://ucloud.univie.ac.at/index.php/f/1552579218","Open Cytogram")</f>
      </c>
      <c r="J386" s="14" t="s">
        <v>314</v>
      </c>
      <c r="K386" s="15" t="s">
        <v>314</v>
      </c>
      <c r="L386" s="15" t="s">
        <v>314</v>
      </c>
      <c r="M386" s="15" t="s">
        <v>347</v>
      </c>
    </row>
    <row r="387">
      <c r="A387" s="4" t="s">
        <v>515</v>
      </c>
      <c r="B387" s="5" t="n">
        <v>46198</v>
      </c>
      <c r="C387" s="5" t="n">
        <v>46191</v>
      </c>
      <c r="D387" s="6" t="str">
        <f>IF(OR(C387="",B387=""),"",B387-C387)</f>
      </c>
      <c r="E387" s="7" t="n">
        <v>3299858.88722412</v>
      </c>
      <c r="F387" s="9" t="n">
        <v>21.0947755316356</v>
      </c>
      <c r="G387" s="8" t="n">
        <v>10178842.8773926</v>
      </c>
      <c r="H387" s="10" t="n">
        <v>65.0695720661591</v>
      </c>
      <c r="I387" s="13" t="str">
        <f>=HYPERLINK("https://ucloud.univie.ac.at/index.php/f/1537345531","Open Cytogram")</f>
      </c>
      <c r="J387" s="2" t="s">
        <v>314</v>
      </c>
      <c r="K387" t="s">
        <v>314</v>
      </c>
      <c r="L387" t="s">
        <v>314</v>
      </c>
      <c r="M387" t="s">
        <v>343</v>
      </c>
    </row>
    <row r="388">
      <c r="A388" s="4" t="s">
        <v>314</v>
      </c>
      <c r="B388" s="5" t="n">
        <v>46205</v>
      </c>
      <c r="C388" s="5" t="n">
        <v>46191</v>
      </c>
      <c r="D388" s="6" t="str">
        <f>IF(OR(C388="",B388=""),"",B388-C388)</f>
      </c>
      <c r="E388" s="7" t="n">
        <v>4335098.60960243</v>
      </c>
      <c r="F388" s="9" t="n">
        <v>29.4915731655791</v>
      </c>
      <c r="G388" s="8" t="n">
        <v>9579726.02650445</v>
      </c>
      <c r="H388" s="10" t="n">
        <v>65.1706492652927</v>
      </c>
      <c r="I388" s="13" t="str">
        <f>=HYPERLINK("https://ucloud.univie.ac.at/index.php/f/1547933978","Open Cytogram")</f>
      </c>
      <c r="J388" s="2" t="s">
        <v>314</v>
      </c>
      <c r="K388" s="3" t="s">
        <v>314</v>
      </c>
      <c r="L388" s="3" t="s">
        <v>314</v>
      </c>
      <c r="M388" s="3" t="s">
        <v>345</v>
      </c>
    </row>
    <row r="389">
      <c r="A389" s="16" t="s">
        <v>314</v>
      </c>
      <c r="B389" s="17" t="n">
        <v>46212</v>
      </c>
      <c r="C389" s="17" t="n">
        <v>46191</v>
      </c>
      <c r="D389" s="18" t="str">
        <f>IF(OR(C389="",B389=""),"",B389-C389)</f>
      </c>
      <c r="E389" s="19" t="n">
        <v>8793080.00574134</v>
      </c>
      <c r="F389" s="21" t="n">
        <v>45.759362229517</v>
      </c>
      <c r="G389" s="20" t="n">
        <v>6308540.89278024</v>
      </c>
      <c r="H389" s="22" t="n">
        <v>32.8297715549005</v>
      </c>
      <c r="I389" s="23" t="str">
        <f>=HYPERLINK("https://ucloud.univie.ac.at/index.php/f/1552579218","Open Cytogram")</f>
      </c>
      <c r="J389" s="14" t="s">
        <v>314</v>
      </c>
      <c r="K389" s="24" t="s">
        <v>314</v>
      </c>
      <c r="L389" s="24" t="s">
        <v>314</v>
      </c>
      <c r="M389" s="24" t="s">
        <v>347</v>
      </c>
    </row>
    <row r="390">
      <c r="A390" s="4" t="s">
        <v>516</v>
      </c>
      <c r="B390" s="5" t="n">
        <v>46198</v>
      </c>
      <c r="C390" s="5" t="n">
        <v>46191</v>
      </c>
      <c r="D390" s="6" t="str">
        <f>IF(OR(C390="",B390=""),"",B390-C390)</f>
      </c>
      <c r="E390" s="7" t="n">
        <v>2209119.57657957</v>
      </c>
      <c r="F390" s="9" t="n">
        <v>25.8975450546332</v>
      </c>
      <c r="G390" s="8" t="n">
        <v>4755558.59900763</v>
      </c>
      <c r="H390" s="10" t="n">
        <v>55.7494915093894</v>
      </c>
      <c r="I390" s="13" t="str">
        <f>=HYPERLINK("https://ucloud.univie.ac.at/index.php/f/1537345531","Open Cytogram")</f>
      </c>
      <c r="J390" s="2" t="s">
        <v>314</v>
      </c>
      <c r="K390" s="3" t="s">
        <v>314</v>
      </c>
      <c r="L390" s="3" t="s">
        <v>314</v>
      </c>
      <c r="M390" s="3" t="s">
        <v>343</v>
      </c>
    </row>
    <row r="391">
      <c r="A391" s="4" t="s">
        <v>314</v>
      </c>
      <c r="B391" s="5" t="n">
        <v>46205</v>
      </c>
      <c r="C391" s="5" t="n">
        <v>46191</v>
      </c>
      <c r="D391" s="6" t="str">
        <f>IF(OR(C391="",B391=""),"",B391-C391)</f>
      </c>
      <c r="E391" s="7" t="n">
        <v>2751642.21973262</v>
      </c>
      <c r="F391" s="9" t="n">
        <v>26.8521262409246</v>
      </c>
      <c r="G391" s="8" t="n">
        <v>6852724.09888715</v>
      </c>
      <c r="H391" s="10" t="n">
        <v>66.8728700548229</v>
      </c>
      <c r="I391" s="13" t="str">
        <f>=HYPERLINK("https://ucloud.univie.ac.at/index.php/f/1547933978","Open Cytogram")</f>
      </c>
      <c r="J391" s="2" t="s">
        <v>314</v>
      </c>
      <c r="K391" t="s">
        <v>314</v>
      </c>
      <c r="L391" t="s">
        <v>314</v>
      </c>
      <c r="M391" t="s">
        <v>345</v>
      </c>
    </row>
    <row r="392">
      <c r="A392" s="16" t="s">
        <v>314</v>
      </c>
      <c r="B392" s="17" t="n">
        <v>46212</v>
      </c>
      <c r="C392" s="17" t="n">
        <v>46191</v>
      </c>
      <c r="D392" s="18" t="str">
        <f>IF(OR(C392="",B392=""),"",B392-C392)</f>
      </c>
      <c r="E392" s="19" t="n">
        <v>2917855.43322558</v>
      </c>
      <c r="F392" s="21" t="n">
        <v>47.3080842391304</v>
      </c>
      <c r="G392" s="20" t="n">
        <v>2376289.73264126</v>
      </c>
      <c r="H392" s="22" t="n">
        <v>38.5275135869565</v>
      </c>
      <c r="I392" s="23" t="str">
        <f>=HYPERLINK("https://ucloud.univie.ac.at/index.php/f/1552579218","Open Cytogram")</f>
      </c>
      <c r="J392" s="14" t="s">
        <v>314</v>
      </c>
      <c r="K392" s="15" t="s">
        <v>314</v>
      </c>
      <c r="L392" s="15" t="s">
        <v>314</v>
      </c>
      <c r="M392" s="15" t="s">
        <v>347</v>
      </c>
    </row>
    <row r="393">
      <c r="A393" s="4" t="s">
        <v>517</v>
      </c>
      <c r="B393" s="5" t="n">
        <v>46198</v>
      </c>
      <c r="C393" s="5" t="n">
        <v>46191</v>
      </c>
      <c r="D393" s="6" t="str">
        <f>IF(OR(C393="",B393=""),"",B393-C393)</f>
      </c>
      <c r="E393" s="7" t="n">
        <v>533551.133046641</v>
      </c>
      <c r="F393" s="9" t="n">
        <v>9.43827175180224</v>
      </c>
      <c r="G393" s="8" t="n">
        <v>4601424.59384716</v>
      </c>
      <c r="H393" s="10" t="n">
        <v>81.3970640717565</v>
      </c>
      <c r="I393" s="13" t="str">
        <f>=HYPERLINK("https://ucloud.univie.ac.at/index.php/f/1537345531","Open Cytogram")</f>
      </c>
      <c r="J393" s="2" t="s">
        <v>314</v>
      </c>
      <c r="K393" t="s">
        <v>314</v>
      </c>
      <c r="L393" t="s">
        <v>314</v>
      </c>
      <c r="M393" t="s">
        <v>343</v>
      </c>
    </row>
    <row r="394">
      <c r="A394" s="4" t="s">
        <v>314</v>
      </c>
      <c r="B394" s="5" t="n">
        <v>46205</v>
      </c>
      <c r="C394" s="5" t="n">
        <v>46191</v>
      </c>
      <c r="D394" s="6" t="str">
        <f>IF(OR(C394="",B394=""),"",B394-C394)</f>
      </c>
      <c r="E394" s="7" t="n">
        <v>778809.287112674</v>
      </c>
      <c r="F394" s="9" t="n">
        <v>21.6231208742442</v>
      </c>
      <c r="G394" s="8" t="n">
        <v>2490671.26042755</v>
      </c>
      <c r="H394" s="10" t="n">
        <v>69.1518278138348</v>
      </c>
      <c r="I394" s="13" t="str">
        <f>=HYPERLINK("https://ucloud.univie.ac.at/index.php/f/1547933978","Open Cytogram")</f>
      </c>
      <c r="J394" s="2" t="s">
        <v>314</v>
      </c>
      <c r="K394" s="3" t="s">
        <v>314</v>
      </c>
      <c r="L394" s="3" t="s">
        <v>314</v>
      </c>
      <c r="M394" s="3" t="s">
        <v>345</v>
      </c>
    </row>
    <row r="395">
      <c r="A395" s="16" t="s">
        <v>314</v>
      </c>
      <c r="B395" s="17" t="n">
        <v>46212</v>
      </c>
      <c r="C395" s="17" t="n">
        <v>46191</v>
      </c>
      <c r="D395" s="18" t="str">
        <f>IF(OR(C395="",B395=""),"",B395-C395)</f>
      </c>
      <c r="E395" s="19" t="n">
        <v>2795100.82337477</v>
      </c>
      <c r="F395" s="21" t="n">
        <v>37.2628372497824</v>
      </c>
      <c r="G395" s="20" t="n">
        <v>2810768.79482426</v>
      </c>
      <c r="H395" s="22" t="n">
        <v>37.4717145343777</v>
      </c>
      <c r="I395" s="23" t="str">
        <f>=HYPERLINK("https://ucloud.univie.ac.at/index.php/f/1552579218","Open Cytogram")</f>
      </c>
      <c r="J395" s="14" t="s">
        <v>314</v>
      </c>
      <c r="K395" s="24" t="s">
        <v>314</v>
      </c>
      <c r="L395" s="24" t="s">
        <v>314</v>
      </c>
      <c r="M395" s="24" t="s">
        <v>347</v>
      </c>
    </row>
    <row r="396">
      <c r="A396" s="4" t="s">
        <v>518</v>
      </c>
      <c r="B396" s="5" t="n">
        <v>46198</v>
      </c>
      <c r="C396" s="5" t="n">
        <v>46191</v>
      </c>
      <c r="D396" s="6" t="str">
        <f>IF(OR(C396="",B396=""),"",B396-C396)</f>
      </c>
      <c r="E396" s="7" t="n">
        <v>371616.279457492</v>
      </c>
      <c r="F396" s="9" t="n">
        <v>3.5546578497086</v>
      </c>
      <c r="G396" s="8" t="n">
        <v>9839828.81111476</v>
      </c>
      <c r="H396" s="10" t="n">
        <v>94.1218850107425</v>
      </c>
      <c r="I396" s="13" t="str">
        <f>=HYPERLINK("https://ucloud.univie.ac.at/index.php/f/1537345531","Open Cytogram")</f>
      </c>
      <c r="J396" s="2" t="s">
        <v>314</v>
      </c>
      <c r="K396" s="3" t="s">
        <v>314</v>
      </c>
      <c r="L396" s="3" t="s">
        <v>314</v>
      </c>
      <c r="M396" s="3" t="s">
        <v>343</v>
      </c>
    </row>
    <row r="397">
      <c r="A397" s="4" t="s">
        <v>314</v>
      </c>
      <c r="B397" s="5" t="n">
        <v>46205</v>
      </c>
      <c r="C397" s="5" t="n">
        <v>46191</v>
      </c>
      <c r="D397" s="6" t="str">
        <f>IF(OR(C397="",B397=""),"",B397-C397)</f>
      </c>
      <c r="E397" s="7" t="n">
        <v>2660161.21891105</v>
      </c>
      <c r="F397" s="9" t="n">
        <v>28.1502309700743</v>
      </c>
      <c r="G397" s="8" t="n">
        <v>5630446.82649937</v>
      </c>
      <c r="H397" s="10" t="n">
        <v>59.5822454308094</v>
      </c>
      <c r="I397" s="13" t="str">
        <f>=HYPERLINK("https://ucloud.univie.ac.at/index.php/f/1547933978","Open Cytogram")</f>
      </c>
      <c r="J397" s="2" t="s">
        <v>314</v>
      </c>
      <c r="K397" t="s">
        <v>314</v>
      </c>
      <c r="L397" t="s">
        <v>314</v>
      </c>
      <c r="M397" t="s">
        <v>345</v>
      </c>
    </row>
    <row r="398">
      <c r="A398" s="16" t="s">
        <v>314</v>
      </c>
      <c r="B398" s="17" t="n">
        <v>46212</v>
      </c>
      <c r="C398" s="17" t="n">
        <v>46191</v>
      </c>
      <c r="D398" s="18" t="str">
        <f>IF(OR(C398="",B398=""),"",B398-C398)</f>
      </c>
      <c r="E398" s="19" t="n">
        <v>1976662.43133968</v>
      </c>
      <c r="F398" s="21" t="n">
        <v>31.8064978298428</v>
      </c>
      <c r="G398" s="20" t="n">
        <v>3503678.67897371</v>
      </c>
      <c r="H398" s="22" t="n">
        <v>56.3777337659601</v>
      </c>
      <c r="I398" s="23" t="str">
        <f>=HYPERLINK("https://ucloud.univie.ac.at/index.php/f/1552579218","Open Cytogram")</f>
      </c>
      <c r="J398" s="14" t="s">
        <v>314</v>
      </c>
      <c r="K398" s="15" t="s">
        <v>314</v>
      </c>
      <c r="L398" s="15" t="s">
        <v>314</v>
      </c>
      <c r="M398" s="15" t="s">
        <v>347</v>
      </c>
    </row>
    <row r="399">
      <c r="A399" s="4" t="s">
        <v>519</v>
      </c>
      <c r="B399" s="5" t="n">
        <v>46192</v>
      </c>
      <c r="C399" s="5"/>
      <c r="D399" s="6" t="str">
        <f>IF(OR(C399="",B399=""),"",B399-C399)</f>
      </c>
      <c r="E399" s="7" t="n">
        <v>12885971.4370085</v>
      </c>
      <c r="F399" s="9" t="n">
        <v>56.2670518375863</v>
      </c>
      <c r="G399" s="8" t="n">
        <v>7658626.06442283</v>
      </c>
      <c r="H399" s="10" t="n">
        <v>33.4416626544696</v>
      </c>
      <c r="I399" s="13" t="str">
        <f>=HYPERLINK("https://ucloud.univie.ac.at/index.php/f/1537345531","Open Cytogram")</f>
      </c>
      <c r="J399" s="2" t="s">
        <v>314</v>
      </c>
      <c r="K399" t="s">
        <v>314</v>
      </c>
      <c r="L399" t="s">
        <v>314</v>
      </c>
      <c r="M399" t="s">
        <v>343</v>
      </c>
    </row>
    <row r="400">
      <c r="A400" s="4" t="s">
        <v>314</v>
      </c>
      <c r="B400" s="5" t="n">
        <v>46198</v>
      </c>
      <c r="C400" s="5"/>
      <c r="D400" s="6" t="str">
        <f>IF(OR(C400="",B400=""),"",B400-C400)</f>
      </c>
      <c r="E400" s="7" t="n">
        <v>4600688.74679846</v>
      </c>
      <c r="F400" s="9" t="n">
        <v>15.6880561473869</v>
      </c>
      <c r="G400" s="8" t="n">
        <v>21933900.7539097</v>
      </c>
      <c r="H400" s="10" t="n">
        <v>74.7932071688181</v>
      </c>
      <c r="I400" s="13" t="str">
        <f>=HYPERLINK("https://ucloud.univie.ac.at/index.php/f/1537345531","Open Cytogram")</f>
      </c>
      <c r="J400" s="2" t="s">
        <v>314</v>
      </c>
      <c r="K400" s="3" t="s">
        <v>314</v>
      </c>
      <c r="L400" s="3" t="s">
        <v>314</v>
      </c>
      <c r="M400" s="3" t="s">
        <v>343</v>
      </c>
    </row>
    <row r="401">
      <c r="A401" s="16" t="s">
        <v>314</v>
      </c>
      <c r="B401" s="17" t="n">
        <v>46204</v>
      </c>
      <c r="C401" s="17"/>
      <c r="D401" s="18" t="str">
        <f>IF(OR(C401="",B401=""),"",B401-C401)</f>
      </c>
      <c r="E401" s="19" t="n">
        <v>9493110.15418122</v>
      </c>
      <c r="F401" s="21" t="n">
        <v>35.3744844394451</v>
      </c>
      <c r="G401" s="20" t="n">
        <v>14551280.7384859</v>
      </c>
      <c r="H401" s="22" t="n">
        <v>54.2229096362955</v>
      </c>
      <c r="I401" s="23" t="str">
        <f>=HYPERLINK("https://ucloud.univie.ac.at/index.php/f/1543012007","Open Cytogram")</f>
      </c>
      <c r="J401" s="14" t="s">
        <v>314</v>
      </c>
      <c r="K401" s="24" t="s">
        <v>314</v>
      </c>
      <c r="L401" s="24" t="s">
        <v>314</v>
      </c>
      <c r="M401" s="24" t="s">
        <v>358</v>
      </c>
    </row>
    <row r="402">
      <c r="A402" s="16" t="s">
        <v>520</v>
      </c>
      <c r="B402" s="17" t="n">
        <v>46211</v>
      </c>
      <c r="C402" s="17"/>
      <c r="D402" s="18" t="str">
        <f>IF(OR(C402="",B402=""),"",B402-C402)</f>
      </c>
      <c r="E402" s="19" t="n">
        <v>16972315.727003</v>
      </c>
      <c r="F402" s="21" t="n">
        <v>45.0964710586824</v>
      </c>
      <c r="G402" s="20" t="n">
        <v>12331359.9634787</v>
      </c>
      <c r="H402" s="22" t="n">
        <v>32.7651704488653</v>
      </c>
      <c r="I402" s="23" t="str">
        <f>=HYPERLINK("https://ucloud.univie.ac.at/index.php/f/1556102548","Open Cytogram")</f>
      </c>
      <c r="J402" s="14" t="s">
        <v>314</v>
      </c>
      <c r="K402" s="15" t="s">
        <v>314</v>
      </c>
      <c r="L402" s="15" t="s">
        <v>314</v>
      </c>
      <c r="M402" s="15" t="s">
        <v>390</v>
      </c>
    </row>
    <row r="403">
      <c r="A403" s="16" t="s">
        <v>521</v>
      </c>
      <c r="B403" s="17" t="n">
        <v>46204</v>
      </c>
      <c r="C403" s="17"/>
      <c r="D403" s="18" t="str">
        <f>IF(OR(C403="",B403=""),"",B403-C403)</f>
      </c>
      <c r="E403" s="19" t="n">
        <v>1654262.08893299</v>
      </c>
      <c r="F403" s="21" t="n">
        <v>34.4794597636466</v>
      </c>
      <c r="G403" s="20" t="n">
        <v>2799312.76939076</v>
      </c>
      <c r="H403" s="22" t="n">
        <v>58.3455261676984</v>
      </c>
      <c r="I403" s="23" t="str">
        <f>=HYPERLINK("https://ucloud.univie.ac.at/index.php/f/1543012007","Open Cytogram")</f>
      </c>
      <c r="J403" s="14" t="s">
        <v>314</v>
      </c>
      <c r="K403" s="24" t="s">
        <v>314</v>
      </c>
      <c r="L403" s="24" t="s">
        <v>314</v>
      </c>
      <c r="M403" s="24" t="s">
        <v>358</v>
      </c>
    </row>
    <row r="404">
      <c r="A404" s="16" t="s">
        <v>522</v>
      </c>
      <c r="B404" s="17" t="n">
        <v>46204</v>
      </c>
      <c r="C404" s="17"/>
      <c r="D404" s="18" t="str">
        <f>IF(OR(C404="",B404=""),"",B404-C404)</f>
      </c>
      <c r="E404" s="19" t="n">
        <v>1637522.37136911</v>
      </c>
      <c r="F404" s="21" t="n">
        <v>36.2609111562836</v>
      </c>
      <c r="G404" s="20" t="n">
        <v>2664990.03571292</v>
      </c>
      <c r="H404" s="22" t="n">
        <v>59.0129140260672</v>
      </c>
      <c r="I404" s="23" t="str">
        <f>=HYPERLINK("https://ucloud.univie.ac.at/index.php/f/1543012007","Open Cytogram")</f>
      </c>
      <c r="J404" s="14" t="s">
        <v>314</v>
      </c>
      <c r="K404" s="15" t="s">
        <v>314</v>
      </c>
      <c r="L404" s="15" t="s">
        <v>314</v>
      </c>
      <c r="M404" s="15" t="s">
        <v>358</v>
      </c>
    </row>
    <row r="405">
      <c r="A405" s="4" t="s">
        <v>523</v>
      </c>
      <c r="B405" s="5" t="n">
        <v>46192</v>
      </c>
      <c r="C405" s="5"/>
      <c r="D405" s="6" t="str">
        <f>IF(OR(C405="",B405=""),"",B405-C405)</f>
      </c>
      <c r="E405" s="7" t="n">
        <v>12576407.8954046</v>
      </c>
      <c r="F405" s="9" t="n">
        <v>67.1245791245791</v>
      </c>
      <c r="G405" s="8" t="n">
        <v>4648863.45892867</v>
      </c>
      <c r="H405" s="10" t="n">
        <v>24.8125701459035</v>
      </c>
      <c r="I405" s="13" t="str">
        <f>=HYPERLINK("https://ucloud.univie.ac.at/index.php/f/1537345531","Open Cytogram")</f>
      </c>
      <c r="J405" s="2" t="s">
        <v>314</v>
      </c>
      <c r="K405" t="s">
        <v>314</v>
      </c>
      <c r="L405" t="s">
        <v>314</v>
      </c>
      <c r="M405" t="s">
        <v>343</v>
      </c>
    </row>
    <row r="406">
      <c r="A406" s="4" t="s">
        <v>314</v>
      </c>
      <c r="B406" s="5" t="n">
        <v>46198</v>
      </c>
      <c r="C406" s="5"/>
      <c r="D406" s="6" t="str">
        <f>IF(OR(C406="",B406=""),"",B406-C406)</f>
      </c>
      <c r="E406" s="7" t="n">
        <v>7240548.69677887</v>
      </c>
      <c r="F406" s="9" t="n">
        <v>21.0352099516831</v>
      </c>
      <c r="G406" s="8" t="n">
        <v>23051224.0045802</v>
      </c>
      <c r="H406" s="10" t="n">
        <v>66.9683137129281</v>
      </c>
      <c r="I406" s="13" t="str">
        <f>=HYPERLINK("https://ucloud.univie.ac.at/index.php/f/1537345531","Open Cytogram")</f>
      </c>
      <c r="J406" s="2" t="s">
        <v>314</v>
      </c>
      <c r="K406" s="3" t="s">
        <v>314</v>
      </c>
      <c r="L406" s="3" t="s">
        <v>314</v>
      </c>
      <c r="M406" s="3" t="s">
        <v>343</v>
      </c>
    </row>
    <row r="407">
      <c r="A407" s="16" t="s">
        <v>314</v>
      </c>
      <c r="B407" s="17" t="n">
        <v>46204</v>
      </c>
      <c r="C407" s="17"/>
      <c r="D407" s="18" t="str">
        <f>IF(OR(C407="",B407=""),"",B407-C407)</f>
      </c>
      <c r="E407" s="19" t="n">
        <v>15241295.3117344</v>
      </c>
      <c r="F407" s="21" t="n">
        <v>30.6014802116472</v>
      </c>
      <c r="G407" s="20" t="n">
        <v>29861116.8528798</v>
      </c>
      <c r="H407" s="22" t="n">
        <v>59.9551650815105</v>
      </c>
      <c r="I407" s="23" t="str">
        <f>=HYPERLINK("https://ucloud.univie.ac.at/index.php/f/1543012007","Open Cytogram")</f>
      </c>
      <c r="J407" s="14" t="s">
        <v>314</v>
      </c>
      <c r="K407" s="24" t="s">
        <v>314</v>
      </c>
      <c r="L407" s="24" t="s">
        <v>314</v>
      </c>
      <c r="M407" s="24" t="s">
        <v>358</v>
      </c>
    </row>
    <row r="408">
      <c r="A408" s="16" t="s">
        <v>524</v>
      </c>
      <c r="B408" s="17" t="n">
        <v>46212</v>
      </c>
      <c r="C408" s="17"/>
      <c r="D408" s="18" t="str">
        <f>IF(OR(C408="",B408=""),"",B408-C408)</f>
      </c>
      <c r="E408" s="19" t="n">
        <v>14492612.9086225</v>
      </c>
      <c r="F408" s="21" t="n">
        <v>53.5804099082107</v>
      </c>
      <c r="G408" s="20" t="n">
        <v>9949695.29226754</v>
      </c>
      <c r="H408" s="22" t="n">
        <v>36.78486105872</v>
      </c>
      <c r="I408" s="23" t="str">
        <f>=HYPERLINK("https://ucloud.univie.ac.at/index.php/f/1552579218","Open Cytogram")</f>
      </c>
      <c r="J408" s="14" t="s">
        <v>314</v>
      </c>
      <c r="K408" s="15" t="s">
        <v>314</v>
      </c>
      <c r="L408" s="15" t="s">
        <v>314</v>
      </c>
      <c r="M408" s="15" t="s">
        <v>347</v>
      </c>
    </row>
    <row r="409">
      <c r="A409" s="16" t="s">
        <v>525</v>
      </c>
      <c r="B409" s="17" t="n">
        <v>46211</v>
      </c>
      <c r="C409" s="17"/>
      <c r="D409" s="18" t="str">
        <f>IF(OR(C409="",B409=""),"",B409-C409)</f>
      </c>
      <c r="E409" s="19" t="n">
        <v>16395723.5334399</v>
      </c>
      <c r="F409" s="21" t="n">
        <v>55.0047333543705</v>
      </c>
      <c r="G409" s="20" t="n">
        <v>7998923.35083314</v>
      </c>
      <c r="H409" s="22" t="n">
        <v>26.8349637109498</v>
      </c>
      <c r="I409" s="23" t="str">
        <f>=HYPERLINK("https://ucloud.univie.ac.at/index.php/f/1556102548","Open Cytogram")</f>
      </c>
      <c r="J409" s="14" t="s">
        <v>314</v>
      </c>
      <c r="K409" s="24" t="s">
        <v>314</v>
      </c>
      <c r="L409" s="24" t="s">
        <v>314</v>
      </c>
      <c r="M409" s="24" t="s">
        <v>390</v>
      </c>
    </row>
    <row r="410">
      <c r="A410" s="16" t="s">
        <v>526</v>
      </c>
      <c r="B410" s="17" t="n">
        <v>46204</v>
      </c>
      <c r="C410" s="17"/>
      <c r="D410" s="18" t="str">
        <f>IF(OR(C410="",B410=""),"",B410-C410)</f>
      </c>
      <c r="E410" s="19" t="n">
        <v>577317.759370156</v>
      </c>
      <c r="F410" s="21" t="n">
        <v>28.879659643436</v>
      </c>
      <c r="G410" s="20" t="n">
        <v>1356625.86071566</v>
      </c>
      <c r="H410" s="22" t="n">
        <v>67.8636547811994</v>
      </c>
      <c r="I410" s="23" t="str">
        <f>=HYPERLINK("https://ucloud.univie.ac.at/index.php/f/1543012007","Open Cytogram")</f>
      </c>
      <c r="J410" s="14" t="s">
        <v>314</v>
      </c>
      <c r="K410" s="15" t="s">
        <v>314</v>
      </c>
      <c r="L410" s="15" t="s">
        <v>314</v>
      </c>
      <c r="M410" s="15" t="s">
        <v>358</v>
      </c>
    </row>
    <row r="411">
      <c r="A411" s="4" t="s">
        <v>527</v>
      </c>
      <c r="B411" s="5" t="n">
        <v>46204</v>
      </c>
      <c r="C411" s="5"/>
      <c r="D411" s="6" t="str">
        <f>IF(OR(C411="",B411=""),"",B411-C411)</f>
      </c>
      <c r="E411" s="7" t="n">
        <v>541982.105560934</v>
      </c>
      <c r="F411" s="9" t="n">
        <v>30.6078106238207</v>
      </c>
      <c r="G411" s="8" t="n">
        <v>1160912.91282676</v>
      </c>
      <c r="H411" s="10" t="n">
        <v>65.5612099033678</v>
      </c>
      <c r="I411" s="13" t="str">
        <f>=HYPERLINK("https://ucloud.univie.ac.at/index.php/f/1543012007","Open Cytogram")</f>
      </c>
      <c r="J411" s="2" t="s">
        <v>314</v>
      </c>
      <c r="K411" t="s">
        <v>314</v>
      </c>
      <c r="L411" t="s">
        <v>314</v>
      </c>
      <c r="M411" t="s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1.71" hidden="0" customWidth="1"/>
    <col min="5" max="5" width="14.71" hidden="0" customWidth="1"/>
    <col min="6" max="6" width="10.71" hidden="0" customWidth="1"/>
    <col min="7" max="7" width="16.71" hidden="0" customWidth="1"/>
    <col min="8" max="8" width="12.71" hidden="0" customWidth="1"/>
    <col min="9" max="9" width="14.71" hidden="0" customWidth="1"/>
    <col min="10" max="10" width="10.71" hidden="0" customWidth="1"/>
    <col min="11" max="11" width="16.71" hidden="0" customWidth="1"/>
    <col min="12" max="12" width="16.71" hidden="0" customWidth="1"/>
    <col min="13" max="13" width="9.14" hidden="1" customWidth="1"/>
    <col min="14" max="14" width="16.71" hidden="0" customWidth="1"/>
    <col min="15" max="15" width="9.14" hidden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175</v>
      </c>
      <c r="J1" s="1" t="s">
        <v>176</v>
      </c>
      <c r="K1" s="1" t="s">
        <v>8</v>
      </c>
      <c r="L1" s="1" t="s">
        <v>9</v>
      </c>
      <c r="M1" s="1" t="s">
        <v>10</v>
      </c>
      <c r="N1" s="1" t="s">
        <v>315</v>
      </c>
      <c r="O1" s="1" t="s">
        <v>12</v>
      </c>
    </row>
    <row r="2">
      <c r="A2" s="16" t="s">
        <v>528</v>
      </c>
      <c r="B2" s="17" t="n">
        <v>46153</v>
      </c>
      <c r="C2" s="17" t="n">
        <v>46136</v>
      </c>
      <c r="D2" s="18" t="str">
        <f>IF(OR(C2="",B2=""),"",B2-C2)</f>
      </c>
      <c r="E2" s="19" t="n">
        <v>4644886.1217995</v>
      </c>
      <c r="F2" s="21" t="n">
        <v>41.7707961442342</v>
      </c>
      <c r="G2" s="20" t="n">
        <v>3827068.56531173</v>
      </c>
      <c r="H2" s="22" t="n">
        <v>34.4162799000357</v>
      </c>
      <c r="I2" s="25" t="n">
        <v>2167172.41371329</v>
      </c>
      <c r="J2" s="26" t="n">
        <v>19.489071363402</v>
      </c>
      <c r="K2" s="23" t="str">
        <f>=HYPERLINK("https://ucloud.univie.ac.at/index.php/f/1514656058","Open Cytogram")</f>
      </c>
      <c r="L2" s="14" t="s">
        <v>314</v>
      </c>
      <c r="M2" s="15" t="s">
        <v>314</v>
      </c>
      <c r="N2" s="15" t="s">
        <v>314</v>
      </c>
      <c r="O2" s="15" t="s">
        <v>529</v>
      </c>
    </row>
    <row r="3">
      <c r="A3" s="16" t="s">
        <v>530</v>
      </c>
      <c r="B3" s="17" t="n">
        <v>46153</v>
      </c>
      <c r="C3" s="17" t="n">
        <v>46136</v>
      </c>
      <c r="D3" s="18" t="str">
        <f>IF(OR(C3="",B3=""),"",B3-C3)</f>
      </c>
      <c r="E3" s="19" t="n">
        <v>6565037.05135252</v>
      </c>
      <c r="F3" s="21" t="n">
        <v>49.9697824335214</v>
      </c>
      <c r="G3" s="20" t="n">
        <v>2814280.48025459</v>
      </c>
      <c r="H3" s="22" t="n">
        <v>21.4208971259737</v>
      </c>
      <c r="I3" s="25" t="n">
        <v>2684594.20107045</v>
      </c>
      <c r="J3" s="26" t="n">
        <v>20.4337899543379</v>
      </c>
      <c r="K3" s="23" t="str">
        <f>=HYPERLINK("https://ucloud.univie.ac.at/index.php/f/1514656058","Open Cytogram")</f>
      </c>
      <c r="L3" s="14" t="s">
        <v>314</v>
      </c>
      <c r="M3" s="24" t="s">
        <v>314</v>
      </c>
      <c r="N3" s="24" t="s">
        <v>314</v>
      </c>
      <c r="O3" s="24" t="s">
        <v>529</v>
      </c>
    </row>
    <row r="4">
      <c r="A4" s="16" t="s">
        <v>531</v>
      </c>
      <c r="B4" s="17" t="n">
        <v>46153</v>
      </c>
      <c r="C4" s="17" t="n">
        <v>46136</v>
      </c>
      <c r="D4" s="18" t="str">
        <f>IF(OR(C4="",B4=""),"",B4-C4)</f>
      </c>
      <c r="E4" s="19" t="n">
        <v>4108937.72313033</v>
      </c>
      <c r="F4" s="21" t="n">
        <v>41.4774245257815</v>
      </c>
      <c r="G4" s="20" t="n">
        <v>2819132.68797917</v>
      </c>
      <c r="H4" s="22" t="n">
        <v>28.4575652328792</v>
      </c>
      <c r="I4" s="25" t="n">
        <v>2352438.5268335</v>
      </c>
      <c r="J4" s="26" t="n">
        <v>23.7465491139015</v>
      </c>
      <c r="K4" s="23" t="str">
        <f>=HYPERLINK("https://ucloud.univie.ac.at/index.php/f/1514656058","Open Cytogram")</f>
      </c>
      <c r="L4" s="14" t="s">
        <v>314</v>
      </c>
      <c r="M4" s="15" t="s">
        <v>314</v>
      </c>
      <c r="N4" s="15" t="s">
        <v>314</v>
      </c>
      <c r="O4" s="15" t="s">
        <v>529</v>
      </c>
    </row>
    <row r="5">
      <c r="A5" s="16" t="s">
        <v>532</v>
      </c>
      <c r="B5" s="17" t="n">
        <v>46153</v>
      </c>
      <c r="C5" s="17" t="n">
        <v>46136</v>
      </c>
      <c r="D5" s="18" t="str">
        <f>IF(OR(C5="",B5=""),"",B5-C5)</f>
      </c>
      <c r="E5" s="19" t="n">
        <v>1062060.38342644</v>
      </c>
      <c r="F5" s="21" t="n">
        <v>12.4114934958011</v>
      </c>
      <c r="G5" s="20" t="n">
        <v>45793.6483732793</v>
      </c>
      <c r="H5" s="22" t="n">
        <v>0.535155606784127</v>
      </c>
      <c r="I5" s="25" t="n">
        <v>7169171.7822537</v>
      </c>
      <c r="J5" s="26" t="n">
        <v>83.7806685328503</v>
      </c>
      <c r="K5" s="23" t="str">
        <f>=HYPERLINK("https://ucloud.univie.ac.at/index.php/f/1514656058","Open Cytogram")</f>
      </c>
      <c r="L5" s="14" t="s">
        <v>314</v>
      </c>
      <c r="M5" s="24" t="s">
        <v>314</v>
      </c>
      <c r="N5" s="24" t="s">
        <v>314</v>
      </c>
      <c r="O5" s="24" t="s">
        <v>529</v>
      </c>
    </row>
    <row r="6">
      <c r="A6" s="16" t="s">
        <v>533</v>
      </c>
      <c r="B6" s="17"/>
      <c r="C6" s="17" t="n">
        <v>46160</v>
      </c>
      <c r="D6" s="18" t="str">
        <f>IF(OR(C6="",B6=""),"",B6-C6)</f>
      </c>
      <c r="E6" s="19" t="n">
        <v>19993936.3510635</v>
      </c>
      <c r="F6" s="21" t="n">
        <v>57.5633933950381</v>
      </c>
      <c r="G6" s="20" t="n">
        <v>7144971.68874883</v>
      </c>
      <c r="H6" s="22" t="n">
        <v>20.5706774741224</v>
      </c>
      <c r="I6" s="25" t="n">
        <v>6351720.0395986</v>
      </c>
      <c r="J6" s="26" t="n">
        <v>18.2868722273947</v>
      </c>
      <c r="K6" s="23" t="str">
        <f>=HYPERLINK("https://ucloud.univie.ac.at/index.php/f/1518571913","Open Cytogram")</f>
      </c>
      <c r="L6" s="14" t="s">
        <v>314</v>
      </c>
      <c r="M6" s="15" t="s">
        <v>314</v>
      </c>
      <c r="N6" s="15" t="s">
        <v>314</v>
      </c>
      <c r="O6" s="15" t="s">
        <v>534</v>
      </c>
    </row>
    <row r="7">
      <c r="A7" s="4" t="s">
        <v>535</v>
      </c>
      <c r="B7" s="5"/>
      <c r="C7" s="5" t="n">
        <v>46160</v>
      </c>
      <c r="D7" s="6" t="str">
        <f>IF(OR(C7="",B7=""),"",B7-C7)</f>
      </c>
      <c r="E7" s="7" t="n">
        <v>14721761.4215195</v>
      </c>
      <c r="F7" s="9" t="n">
        <v>41.6131200430165</v>
      </c>
      <c r="G7" s="8" t="n">
        <v>9197534.1094517</v>
      </c>
      <c r="H7" s="10" t="n">
        <v>25.9981180266165</v>
      </c>
      <c r="I7" s="11" t="n">
        <v>9265065.12514674</v>
      </c>
      <c r="J7" s="12" t="n">
        <v>26.1890038983734</v>
      </c>
      <c r="K7" s="13" t="str">
        <f>=HYPERLINK("https://ucloud.univie.ac.at/index.php/f/1518571913","Open Cytogram")</f>
      </c>
      <c r="L7" s="2" t="s">
        <v>314</v>
      </c>
      <c r="M7" t="s">
        <v>314</v>
      </c>
      <c r="N7" t="s">
        <v>314</v>
      </c>
      <c r="O7" t="s">
        <v>534</v>
      </c>
    </row>
    <row r="8">
      <c r="A8" s="16" t="s">
        <v>314</v>
      </c>
      <c r="B8" s="17" t="n">
        <v>46189</v>
      </c>
      <c r="C8" s="17" t="n">
        <v>46160</v>
      </c>
      <c r="D8" s="18" t="str">
        <f>IF(OR(C8="",B8=""),"",B8-C8)</f>
      </c>
      <c r="E8" s="19" t="n">
        <v>3364270.17842722</v>
      </c>
      <c r="F8" s="21" t="n">
        <v>22.829224961137</v>
      </c>
      <c r="G8" s="20" t="n">
        <v>2731015.04270186</v>
      </c>
      <c r="H8" s="22" t="n">
        <v>18.5320897179658</v>
      </c>
      <c r="I8" s="25" t="n">
        <v>2675380.22457612</v>
      </c>
      <c r="J8" s="26" t="n">
        <v>18.1545636242505</v>
      </c>
      <c r="K8" s="23" t="str">
        <f>=HYPERLINK("https://ucloud.univie.ac.at/index.php/f/1525440666","Open Cytogram")</f>
      </c>
      <c r="L8" s="14" t="s">
        <v>314</v>
      </c>
      <c r="M8" s="15" t="s">
        <v>314</v>
      </c>
      <c r="N8" s="15" t="s">
        <v>314</v>
      </c>
      <c r="O8" s="15" t="s">
        <v>537</v>
      </c>
    </row>
    <row r="9">
      <c r="A9" s="4" t="s">
        <v>538</v>
      </c>
      <c r="B9" s="5"/>
      <c r="C9" s="5" t="n">
        <v>46160</v>
      </c>
      <c r="D9" s="6" t="str">
        <f>IF(OR(C9="",B9=""),"",B9-C9)</f>
      </c>
      <c r="E9" s="7" t="n">
        <v>11387424.8270009</v>
      </c>
      <c r="F9" s="9" t="n">
        <v>47.4066419816872</v>
      </c>
      <c r="G9" s="8" t="n">
        <v>5113171.62248964</v>
      </c>
      <c r="H9" s="10" t="n">
        <v>21.286489279256</v>
      </c>
      <c r="I9" s="11" t="n">
        <v>5768176.07790565</v>
      </c>
      <c r="J9" s="12" t="n">
        <v>24.0133184075318</v>
      </c>
      <c r="K9" s="13" t="str">
        <f>=HYPERLINK("https://ucloud.univie.ac.at/index.php/f/1518571913","Open Cytogram")</f>
      </c>
      <c r="L9" s="2" t="s">
        <v>314</v>
      </c>
      <c r="M9" t="s">
        <v>314</v>
      </c>
      <c r="N9" t="s">
        <v>314</v>
      </c>
      <c r="O9" t="s">
        <v>534</v>
      </c>
    </row>
    <row r="10">
      <c r="A10" s="16" t="s">
        <v>314</v>
      </c>
      <c r="B10" s="17" t="n">
        <v>46189</v>
      </c>
      <c r="C10" s="17" t="n">
        <v>46160</v>
      </c>
      <c r="D10" s="18" t="str">
        <f>IF(OR(C10="",B10=""),"",B10-C10)</f>
      </c>
      <c r="E10" s="19" t="n">
        <v>3586809.45093018</v>
      </c>
      <c r="F10" s="21" t="n">
        <v>17.4099519478972</v>
      </c>
      <c r="G10" s="20" t="n">
        <v>3001007.54242972</v>
      </c>
      <c r="H10" s="22" t="n">
        <v>14.5665382629761</v>
      </c>
      <c r="I10" s="25" t="n">
        <v>11589223.5110461</v>
      </c>
      <c r="J10" s="26" t="n">
        <v>56.2527302331123</v>
      </c>
      <c r="K10" s="23" t="str">
        <f>=HYPERLINK("https://ucloud.univie.ac.at/index.php/f/1525440666","Open Cytogram")</f>
      </c>
      <c r="L10" s="14" t="s">
        <v>314</v>
      </c>
      <c r="M10" s="15" t="s">
        <v>314</v>
      </c>
      <c r="N10" s="15" t="s">
        <v>314</v>
      </c>
      <c r="O10" s="15" t="s">
        <v>537</v>
      </c>
    </row>
    <row r="11">
      <c r="A11" s="4" t="s">
        <v>539</v>
      </c>
      <c r="B11" s="5"/>
      <c r="C11" s="5" t="n">
        <v>46160</v>
      </c>
      <c r="D11" s="6" t="str">
        <f>IF(OR(C11="",B11=""),"",B11-C11)</f>
      </c>
      <c r="E11" s="7" t="n">
        <v>14602462.4855324</v>
      </c>
      <c r="F11" s="9" t="n">
        <v>48.2294536925284</v>
      </c>
      <c r="G11" s="8" t="n">
        <v>6481096.71674792</v>
      </c>
      <c r="H11" s="10" t="n">
        <v>21.405961788081</v>
      </c>
      <c r="I11" s="11" t="n">
        <v>7150580.2180205</v>
      </c>
      <c r="J11" s="12" t="n">
        <v>23.6171520961902</v>
      </c>
      <c r="K11" s="13" t="str">
        <f>=HYPERLINK("https://ucloud.univie.ac.at/index.php/f/1518571913","Open Cytogram")</f>
      </c>
      <c r="L11" s="2" t="s">
        <v>314</v>
      </c>
      <c r="M11" t="s">
        <v>314</v>
      </c>
      <c r="N11" t="s">
        <v>314</v>
      </c>
      <c r="O11" t="s">
        <v>534</v>
      </c>
    </row>
    <row r="12">
      <c r="A12" s="16" t="s">
        <v>314</v>
      </c>
      <c r="B12" s="17" t="n">
        <v>46189</v>
      </c>
      <c r="C12" s="17" t="n">
        <v>46160</v>
      </c>
      <c r="D12" s="18" t="str">
        <f>IF(OR(C12="",B12=""),"",B12-C12)</f>
      </c>
      <c r="E12" s="19" t="n">
        <v>11485317.3066054</v>
      </c>
      <c r="F12" s="21" t="n">
        <v>50.2218088151116</v>
      </c>
      <c r="G12" s="20" t="n">
        <v>3843711.4052167</v>
      </c>
      <c r="H12" s="22" t="n">
        <v>16.8073840870063</v>
      </c>
      <c r="I12" s="25" t="n">
        <v>6749812.49319663</v>
      </c>
      <c r="J12" s="26" t="n">
        <v>29.5148826559817</v>
      </c>
      <c r="K12" s="23" t="str">
        <f>=HYPERLINK("https://ucloud.univie.ac.at/index.php/f/1525440666","Open Cytogram")</f>
      </c>
      <c r="L12" s="14" t="s">
        <v>314</v>
      </c>
      <c r="M12" s="15" t="s">
        <v>314</v>
      </c>
      <c r="N12" s="15" t="s">
        <v>314</v>
      </c>
      <c r="O12" s="15" t="s">
        <v>537</v>
      </c>
    </row>
    <row r="13">
      <c r="A13" s="4" t="s">
        <v>540</v>
      </c>
      <c r="B13" s="5"/>
      <c r="C13" s="5" t="n">
        <v>46160</v>
      </c>
      <c r="D13" s="6" t="str">
        <f>IF(OR(C13="",B13=""),"",B13-C13)</f>
      </c>
      <c r="E13" s="7" t="n">
        <v>7001652.88921012</v>
      </c>
      <c r="F13" s="9" t="n">
        <v>55.5160726000437</v>
      </c>
      <c r="G13" s="8" t="n">
        <v>2524180.32766108</v>
      </c>
      <c r="H13" s="10" t="n">
        <v>20.0142138639843</v>
      </c>
      <c r="I13" s="11" t="n">
        <v>2002934.67682476</v>
      </c>
      <c r="J13" s="12" t="n">
        <v>15.8812595670238</v>
      </c>
      <c r="K13" s="13" t="str">
        <f>=HYPERLINK("https://ucloud.univie.ac.at/index.php/f/1518571913","Open Cytogram")</f>
      </c>
      <c r="L13" s="2" t="s">
        <v>314</v>
      </c>
      <c r="M13" t="s">
        <v>314</v>
      </c>
      <c r="N13" t="s">
        <v>314</v>
      </c>
      <c r="O13" t="s">
        <v>534</v>
      </c>
    </row>
    <row r="14">
      <c r="A14" s="16" t="s">
        <v>314</v>
      </c>
      <c r="B14" s="17" t="n">
        <v>46189</v>
      </c>
      <c r="C14" s="17" t="n">
        <v>46160</v>
      </c>
      <c r="D14" s="18" t="str">
        <f>IF(OR(C14="",B14=""),"",B14-C14)</f>
      </c>
      <c r="E14" s="19" t="n">
        <v>10769729.443104</v>
      </c>
      <c r="F14" s="21" t="n">
        <v>43.4121367263966</v>
      </c>
      <c r="G14" s="20" t="n">
        <v>6208564.11184141</v>
      </c>
      <c r="H14" s="22" t="n">
        <v>25.0263514530944</v>
      </c>
      <c r="I14" s="25" t="n">
        <v>7562095.83859063</v>
      </c>
      <c r="J14" s="26" t="n">
        <v>30.4823570747377</v>
      </c>
      <c r="K14" s="23" t="str">
        <f>=HYPERLINK("https://ucloud.univie.ac.at/index.php/f/1525440666","Open Cytogram")</f>
      </c>
      <c r="L14" s="14" t="s">
        <v>314</v>
      </c>
      <c r="M14" s="15" t="s">
        <v>314</v>
      </c>
      <c r="N14" s="15" t="s">
        <v>314</v>
      </c>
      <c r="O14" s="15" t="s">
        <v>537</v>
      </c>
    </row>
    <row r="15">
      <c r="A15" s="4" t="s">
        <v>541</v>
      </c>
      <c r="B15" s="5"/>
      <c r="C15" s="5" t="n">
        <v>46171</v>
      </c>
      <c r="D15" s="6" t="str">
        <f>IF(OR(C15="",B15=""),"",B15-C15)</f>
      </c>
      <c r="E15" s="7" t="n">
        <v>13349264.8630977</v>
      </c>
      <c r="F15" s="9" t="n">
        <v>35.5379434330134</v>
      </c>
      <c r="G15" s="8" t="n">
        <v>16077137.440751</v>
      </c>
      <c r="H15" s="10" t="n">
        <v>42.7999898716228</v>
      </c>
      <c r="I15" s="11" t="n">
        <v>5068630.74139277</v>
      </c>
      <c r="J15" s="12" t="n">
        <v>13.4935304990758</v>
      </c>
      <c r="K15" s="13" t="str">
        <f>=HYPERLINK("https://ucloud.univie.ac.at/index.php/f/1518571913","Open Cytogram")</f>
      </c>
      <c r="L15" s="2" t="s">
        <v>314</v>
      </c>
      <c r="M15" t="s">
        <v>314</v>
      </c>
      <c r="N15" t="s">
        <v>314</v>
      </c>
      <c r="O15" t="s">
        <v>534</v>
      </c>
    </row>
    <row r="16">
      <c r="A16" s="16" t="s">
        <v>314</v>
      </c>
      <c r="B16" s="17" t="n">
        <v>46189</v>
      </c>
      <c r="C16" s="17" t="n">
        <v>46171</v>
      </c>
      <c r="D16" s="18" t="str">
        <f>IF(OR(C16="",B16=""),"",B16-C16)</f>
      </c>
      <c r="E16" s="19" t="n">
        <v>11256232.7613817</v>
      </c>
      <c r="F16" s="21" t="n">
        <v>40.9891255772382</v>
      </c>
      <c r="G16" s="20" t="n">
        <v>11308594.9431471</v>
      </c>
      <c r="H16" s="22" t="n">
        <v>41.1798003873082</v>
      </c>
      <c r="I16" s="25" t="n">
        <v>3896073.5869821</v>
      </c>
      <c r="J16" s="26" t="n">
        <v>14.1873975867719</v>
      </c>
      <c r="K16" s="23" t="str">
        <f>=HYPERLINK("https://ucloud.univie.ac.at/index.php/f/1525440666","Open Cytogram")</f>
      </c>
      <c r="L16" s="14" t="s">
        <v>314</v>
      </c>
      <c r="M16" s="15" t="s">
        <v>314</v>
      </c>
      <c r="N16" s="15" t="s">
        <v>314</v>
      </c>
      <c r="O16" s="15" t="s">
        <v>537</v>
      </c>
    </row>
    <row r="17">
      <c r="A17" s="4" t="s">
        <v>542</v>
      </c>
      <c r="B17" s="5"/>
      <c r="C17" s="5" t="n">
        <v>46171</v>
      </c>
      <c r="D17" s="6" t="str">
        <f>IF(OR(C17="",B17=""),"",B17-C17)</f>
      </c>
      <c r="E17" s="7" t="n">
        <v>9884257.95919567</v>
      </c>
      <c r="F17" s="9" t="n">
        <v>27.7816393092017</v>
      </c>
      <c r="G17" s="8" t="n">
        <v>19818926.3948961</v>
      </c>
      <c r="H17" s="10" t="n">
        <v>55.7049671175747</v>
      </c>
      <c r="I17" s="11" t="n">
        <v>2737383.98831458</v>
      </c>
      <c r="J17" s="12" t="n">
        <v>7.69395284179009</v>
      </c>
      <c r="K17" s="13" t="str">
        <f>=HYPERLINK("https://ucloud.univie.ac.at/index.php/f/1518571913","Open Cytogram")</f>
      </c>
      <c r="L17" s="2" t="s">
        <v>314</v>
      </c>
      <c r="M17" t="s">
        <v>314</v>
      </c>
      <c r="N17" t="s">
        <v>314</v>
      </c>
      <c r="O17" t="s">
        <v>534</v>
      </c>
    </row>
    <row r="18">
      <c r="A18" s="16" t="s">
        <v>314</v>
      </c>
      <c r="B18" s="17" t="n">
        <v>46189</v>
      </c>
      <c r="C18" s="17" t="n">
        <v>46171</v>
      </c>
      <c r="D18" s="18" t="str">
        <f>IF(OR(C18="",B18=""),"",B18-C18)</f>
      </c>
      <c r="E18" s="19" t="n">
        <v>11155599.1933013</v>
      </c>
      <c r="F18" s="21" t="n">
        <v>42.791237760482</v>
      </c>
      <c r="G18" s="20" t="n">
        <v>11222688.2386883</v>
      </c>
      <c r="H18" s="22" t="n">
        <v>43.0485814712528</v>
      </c>
      <c r="I18" s="25" t="n">
        <v>2809558.31534997</v>
      </c>
      <c r="J18" s="26" t="n">
        <v>10.7770524730103</v>
      </c>
      <c r="K18" s="23" t="str">
        <f>=HYPERLINK("https://ucloud.univie.ac.at/index.php/f/1525440666","Open Cytogram")</f>
      </c>
      <c r="L18" s="14" t="s">
        <v>314</v>
      </c>
      <c r="M18" s="15" t="s">
        <v>314</v>
      </c>
      <c r="N18" s="15" t="s">
        <v>314</v>
      </c>
      <c r="O18" s="15" t="s">
        <v>537</v>
      </c>
    </row>
    <row r="19">
      <c r="A19" s="16" t="s">
        <v>543</v>
      </c>
      <c r="B19" s="17" t="n">
        <v>46198</v>
      </c>
      <c r="C19" s="17" t="n">
        <v>46185</v>
      </c>
      <c r="D19" s="18" t="str">
        <f>IF(OR(C19="",B19=""),"",B19-C19)</f>
      </c>
      <c r="E19" s="19" t="n">
        <v>7683435.05107423</v>
      </c>
      <c r="F19" s="21" t="n">
        <v>29.9849393990103</v>
      </c>
      <c r="G19" s="20" t="n">
        <v>3172487.45352096</v>
      </c>
      <c r="H19" s="22" t="n">
        <v>12.3807702421649</v>
      </c>
      <c r="I19" s="25" t="n">
        <v>13916922.6600778</v>
      </c>
      <c r="J19" s="26" t="n">
        <v>54.3113958547489</v>
      </c>
      <c r="K19" s="23" t="str">
        <f>=HYPERLINK("https://ucloud.univie.ac.at/index.php/f/1537345796","Open Cytogram")</f>
      </c>
      <c r="L19" s="14" t="s">
        <v>314</v>
      </c>
      <c r="M19" s="24" t="s">
        <v>314</v>
      </c>
      <c r="N19" s="24" t="s">
        <v>314</v>
      </c>
      <c r="O19" s="24" t="s">
        <v>544</v>
      </c>
    </row>
    <row r="20">
      <c r="A20" s="16" t="s">
        <v>545</v>
      </c>
      <c r="B20" s="17" t="n">
        <v>46198</v>
      </c>
      <c r="C20" s="17" t="n">
        <v>46185</v>
      </c>
      <c r="D20" s="18" t="str">
        <f>IF(OR(C20="",B20=""),"",B20-C20)</f>
      </c>
      <c r="E20" s="19" t="n">
        <v>13216757.9256938</v>
      </c>
      <c r="F20" s="21" t="n">
        <v>37.1766043782792</v>
      </c>
      <c r="G20" s="20" t="n">
        <v>4472968.40811162</v>
      </c>
      <c r="H20" s="22" t="n">
        <v>12.5817373549404</v>
      </c>
      <c r="I20" s="25" t="n">
        <v>16588942.4075693</v>
      </c>
      <c r="J20" s="26" t="n">
        <v>46.6620144219586</v>
      </c>
      <c r="K20" s="23" t="str">
        <f>=HYPERLINK("https://ucloud.univie.ac.at/index.php/f/1537345796","Open Cytogram")</f>
      </c>
      <c r="L20" s="14" t="s">
        <v>314</v>
      </c>
      <c r="M20" s="15" t="s">
        <v>314</v>
      </c>
      <c r="N20" s="15" t="s">
        <v>314</v>
      </c>
      <c r="O20" s="15" t="s">
        <v>544</v>
      </c>
    </row>
    <row r="21">
      <c r="A21" s="16" t="s">
        <v>546</v>
      </c>
      <c r="B21" s="17" t="n">
        <v>46198</v>
      </c>
      <c r="C21" s="17" t="n">
        <v>46185</v>
      </c>
      <c r="D21" s="18" t="str">
        <f>IF(OR(C21="",B21=""),"",B21-C21)</f>
      </c>
      <c r="E21" s="19" t="n">
        <v>15672847.6041824</v>
      </c>
      <c r="F21" s="21" t="n">
        <v>43.7224443760894</v>
      </c>
      <c r="G21" s="20" t="n">
        <v>9024039.18160728</v>
      </c>
      <c r="H21" s="22" t="n">
        <v>25.1743053419461</v>
      </c>
      <c r="I21" s="25" t="n">
        <v>9952997.90399858</v>
      </c>
      <c r="J21" s="26" t="n">
        <v>27.7658156464678</v>
      </c>
      <c r="K21" s="23" t="str">
        <f>=HYPERLINK("https://ucloud.univie.ac.at/index.php/f/1537345796","Open Cytogram")</f>
      </c>
      <c r="L21" s="14" t="s">
        <v>314</v>
      </c>
      <c r="M21" s="24" t="s">
        <v>314</v>
      </c>
      <c r="N21" s="24" t="s">
        <v>314</v>
      </c>
      <c r="O21" s="24" t="s">
        <v>544</v>
      </c>
    </row>
    <row r="22">
      <c r="A22" s="16" t="s">
        <v>547</v>
      </c>
      <c r="B22" s="17" t="n">
        <v>46198</v>
      </c>
      <c r="C22" s="17" t="n">
        <v>46185</v>
      </c>
      <c r="D22" s="18" t="str">
        <f>IF(OR(C22="",B22=""),"",B22-C22)</f>
      </c>
      <c r="E22" s="19" t="n">
        <v>7560308.96917469</v>
      </c>
      <c r="F22" s="21" t="n">
        <v>34.6997300944669</v>
      </c>
      <c r="G22" s="20" t="n">
        <v>7099964.43908761</v>
      </c>
      <c r="H22" s="22" t="n">
        <v>32.5868758434548</v>
      </c>
      <c r="I22" s="25" t="n">
        <v>5996423.95877905</v>
      </c>
      <c r="J22" s="26" t="n">
        <v>27.5219298245614</v>
      </c>
      <c r="K22" s="23" t="str">
        <f>=HYPERLINK("https://ucloud.univie.ac.at/index.php/f/1537345796","Open Cytogram")</f>
      </c>
      <c r="L22" s="14" t="s">
        <v>314</v>
      </c>
      <c r="M22" s="15" t="s">
        <v>314</v>
      </c>
      <c r="N22" s="15" t="s">
        <v>314</v>
      </c>
      <c r="O22" s="15" t="s">
        <v>544</v>
      </c>
    </row>
    <row r="23">
      <c r="A23" s="16" t="s">
        <v>548</v>
      </c>
      <c r="B23" s="17" t="n">
        <v>46198</v>
      </c>
      <c r="C23" s="17" t="n">
        <v>46185</v>
      </c>
      <c r="D23" s="18" t="str">
        <f>IF(OR(C23="",B23=""),"",B23-C23)</f>
      </c>
      <c r="E23" s="19" t="n">
        <v>10653162.6383825</v>
      </c>
      <c r="F23" s="21" t="n">
        <v>37.6428571428571</v>
      </c>
      <c r="G23" s="20" t="n">
        <v>8898156.54563536</v>
      </c>
      <c r="H23" s="22" t="n">
        <v>31.4415584415584</v>
      </c>
      <c r="I23" s="25" t="n">
        <v>7411455.0492663</v>
      </c>
      <c r="J23" s="26" t="n">
        <v>26.1883116883117</v>
      </c>
      <c r="K23" s="23" t="str">
        <f>=HYPERLINK("https://ucloud.univie.ac.at/index.php/f/1537345796","Open Cytogram")</f>
      </c>
      <c r="L23" s="14" t="s">
        <v>314</v>
      </c>
      <c r="M23" s="24" t="s">
        <v>314</v>
      </c>
      <c r="N23" s="24" t="s">
        <v>314</v>
      </c>
      <c r="O23" s="24" t="s">
        <v>544</v>
      </c>
    </row>
    <row r="24">
      <c r="A24" s="16" t="s">
        <v>549</v>
      </c>
      <c r="B24" s="17" t="n">
        <v>46198</v>
      </c>
      <c r="C24" s="17" t="n">
        <v>46185</v>
      </c>
      <c r="D24" s="18" t="str">
        <f>IF(OR(C24="",B24=""),"",B24-C24)</f>
      </c>
      <c r="E24" s="19" t="n">
        <v>18271359.2430771</v>
      </c>
      <c r="F24" s="21" t="n">
        <v>41.156138753208</v>
      </c>
      <c r="G24" s="20" t="n">
        <v>13293022.5883629</v>
      </c>
      <c r="H24" s="22" t="n">
        <v>29.942462124348</v>
      </c>
      <c r="I24" s="25" t="n">
        <v>10423449.7990177</v>
      </c>
      <c r="J24" s="26" t="n">
        <v>23.4787647984105</v>
      </c>
      <c r="K24" s="23" t="str">
        <f>=HYPERLINK("https://ucloud.univie.ac.at/index.php/f/1537345796","Open Cytogram")</f>
      </c>
      <c r="L24" s="14" t="s">
        <v>314</v>
      </c>
      <c r="M24" s="15" t="s">
        <v>314</v>
      </c>
      <c r="N24" s="15" t="s">
        <v>314</v>
      </c>
      <c r="O24" s="15" t="s">
        <v>544</v>
      </c>
    </row>
    <row r="25">
      <c r="A25" s="16" t="s">
        <v>550</v>
      </c>
      <c r="B25" s="17" t="n">
        <v>46198</v>
      </c>
      <c r="C25" s="17" t="n">
        <v>46185</v>
      </c>
      <c r="D25" s="18" t="str">
        <f>IF(OR(C25="",B25=""),"",B25-C25)</f>
      </c>
      <c r="E25" s="19" t="n">
        <v>15037002.4648206</v>
      </c>
      <c r="F25" s="21" t="n">
        <v>47.5519395612378</v>
      </c>
      <c r="G25" s="20" t="n">
        <v>8994635.93816858</v>
      </c>
      <c r="H25" s="22" t="n">
        <v>28.4439924451547</v>
      </c>
      <c r="I25" s="25" t="n">
        <v>6098416.45945703</v>
      </c>
      <c r="J25" s="26" t="n">
        <v>19.2851954089786</v>
      </c>
      <c r="K25" s="23" t="str">
        <f>=HYPERLINK("https://ucloud.univie.ac.at/index.php/f/1537345796","Open Cytogram")</f>
      </c>
      <c r="L25" s="14" t="s">
        <v>314</v>
      </c>
      <c r="M25" s="24" t="s">
        <v>314</v>
      </c>
      <c r="N25" s="24" t="s">
        <v>314</v>
      </c>
      <c r="O25" s="24" t="s">
        <v>544</v>
      </c>
    </row>
    <row r="26">
      <c r="A26" s="4" t="s">
        <v>551</v>
      </c>
      <c r="B26" s="5" t="n">
        <v>46204</v>
      </c>
      <c r="C26" s="5" t="n">
        <v>46199</v>
      </c>
      <c r="D26" s="6" t="str">
        <f>IF(OR(C26="",B26=""),"",B26-C26)</f>
      </c>
      <c r="E26" s="7" t="n">
        <v>8988706.35000752</v>
      </c>
      <c r="F26" s="9" t="n">
        <v>39.3454691473698</v>
      </c>
      <c r="G26" s="8" t="n">
        <v>8714514.36631959</v>
      </c>
      <c r="H26" s="10" t="n">
        <v>38.145272832731</v>
      </c>
      <c r="I26" s="11" t="n">
        <v>3585391.45956245</v>
      </c>
      <c r="J26" s="12" t="n">
        <v>15.6940168652122</v>
      </c>
      <c r="K26" s="13" t="str">
        <f>=HYPERLINK("https://ucloud.univie.ac.at/index.php/f/1543029432","Open Cytogram")</f>
      </c>
      <c r="L26" s="2" t="s">
        <v>314</v>
      </c>
      <c r="M26" s="3" t="s">
        <v>314</v>
      </c>
      <c r="N26" s="3" t="s">
        <v>314</v>
      </c>
      <c r="O26" s="3" t="s">
        <v>552</v>
      </c>
    </row>
    <row r="27">
      <c r="A27" s="4" t="s">
        <v>314</v>
      </c>
      <c r="B27" s="5" t="n">
        <v>46211</v>
      </c>
      <c r="C27" s="5" t="n">
        <v>46199</v>
      </c>
      <c r="D27" s="6" t="str">
        <f>IF(OR(C27="",B27=""),"",B27-C27)</f>
      </c>
      <c r="E27" s="7" t="n">
        <v>16069952.4549207</v>
      </c>
      <c r="F27" s="9" t="n">
        <v>58.4</v>
      </c>
      <c r="G27" s="8" t="n">
        <v>5722164.54486205</v>
      </c>
      <c r="H27" s="10" t="n">
        <v>20.7949843260188</v>
      </c>
      <c r="I27" s="11" t="n">
        <v>4644255.59417771</v>
      </c>
      <c r="J27" s="12" t="n">
        <v>16.8777429467085</v>
      </c>
      <c r="K27" s="13" t="str">
        <f>=HYPERLINK("https://ucloud.univie.ac.at/index.php/f/1547934963","Open Cytogram")</f>
      </c>
      <c r="L27" s="2" t="s">
        <v>314</v>
      </c>
      <c r="M27" t="s">
        <v>314</v>
      </c>
      <c r="N27" t="s">
        <v>314</v>
      </c>
      <c r="O27" t="s">
        <v>553</v>
      </c>
    </row>
    <row r="28">
      <c r="A28" s="16" t="s">
        <v>314</v>
      </c>
      <c r="B28" s="17" t="n">
        <v>46224</v>
      </c>
      <c r="C28" s="17" t="n">
        <v>46199</v>
      </c>
      <c r="D28" s="18" t="str">
        <f>IF(OR(C28="",B28=""),"",B28-C28)</f>
      </c>
      <c r="E28" s="19" t="n">
        <v>5521098.65951743</v>
      </c>
      <c r="F28" s="21" t="n">
        <v>28.8653839211581</v>
      </c>
      <c r="G28" s="20" t="n">
        <v>2732930.02680965</v>
      </c>
      <c r="H28" s="22" t="n">
        <v>14.2882928414137</v>
      </c>
      <c r="I28" s="25" t="n">
        <v>9856638.73994638</v>
      </c>
      <c r="J28" s="26" t="n">
        <v>51.5324356521425</v>
      </c>
      <c r="K28" s="23" t="str">
        <f>=HYPERLINK("https://ucloud.univie.ac.at/index.php/f/1556102618","Open Cytogram")</f>
      </c>
      <c r="L28" s="14" t="s">
        <v>314</v>
      </c>
      <c r="M28" s="15" t="s">
        <v>314</v>
      </c>
      <c r="N28" s="15" t="s">
        <v>314</v>
      </c>
      <c r="O28" s="15" t="s">
        <v>554</v>
      </c>
    </row>
    <row r="29">
      <c r="A29" s="4" t="s">
        <v>555</v>
      </c>
      <c r="B29" s="5" t="n">
        <v>46204</v>
      </c>
      <c r="C29" s="5" t="n">
        <v>46199</v>
      </c>
      <c r="D29" s="6" t="str">
        <f>IF(OR(C29="",B29=""),"",B29-C29)</f>
      </c>
      <c r="E29" s="7" t="n">
        <v>14858723.6114775</v>
      </c>
      <c r="F29" s="9" t="n">
        <v>56.2569936590824</v>
      </c>
      <c r="G29" s="8" t="n">
        <v>7602175.84630543</v>
      </c>
      <c r="H29" s="10" t="n">
        <v>28.7827924903643</v>
      </c>
      <c r="I29" s="11" t="n">
        <v>2026152.26659631</v>
      </c>
      <c r="J29" s="12" t="n">
        <v>7.67126694019644</v>
      </c>
      <c r="K29" s="13" t="str">
        <f>=HYPERLINK("https://ucloud.univie.ac.at/index.php/f/1543029432","Open Cytogram")</f>
      </c>
      <c r="L29" s="2" t="s">
        <v>314</v>
      </c>
      <c r="M29" t="s">
        <v>314</v>
      </c>
      <c r="N29" t="s">
        <v>314</v>
      </c>
      <c r="O29" t="s">
        <v>552</v>
      </c>
    </row>
    <row r="30">
      <c r="A30" s="4" t="s">
        <v>314</v>
      </c>
      <c r="B30" s="5" t="n">
        <v>46211</v>
      </c>
      <c r="C30" s="5" t="n">
        <v>46199</v>
      </c>
      <c r="D30" s="6" t="str">
        <f>IF(OR(C30="",B30=""),"",B30-C30)</f>
      </c>
      <c r="E30" s="7" t="n">
        <v>6502885.08170402</v>
      </c>
      <c r="F30" s="9" t="n">
        <v>30.1340954055836</v>
      </c>
      <c r="G30" s="8" t="n">
        <v>11556994.9197894</v>
      </c>
      <c r="H30" s="10" t="n">
        <v>53.5546273906353</v>
      </c>
      <c r="I30" s="11" t="n">
        <v>2910833.29890107</v>
      </c>
      <c r="J30" s="12" t="n">
        <v>13.4886788305122</v>
      </c>
      <c r="K30" s="13" t="str">
        <f>=HYPERLINK("https://ucloud.univie.ac.at/index.php/f/1547934963","Open Cytogram")</f>
      </c>
      <c r="L30" s="2" t="s">
        <v>314</v>
      </c>
      <c r="M30" s="3" t="s">
        <v>314</v>
      </c>
      <c r="N30" s="3" t="s">
        <v>314</v>
      </c>
      <c r="O30" s="3" t="s">
        <v>553</v>
      </c>
    </row>
    <row r="31">
      <c r="A31" s="4" t="s">
        <v>314</v>
      </c>
      <c r="B31" s="5" t="n">
        <v>46224</v>
      </c>
      <c r="C31" s="5" t="n">
        <v>46199</v>
      </c>
      <c r="D31" s="6" t="str">
        <f>IF(OR(C31="",B31=""),"",B31-C31)</f>
      </c>
      <c r="E31" s="7" t="n">
        <v>13041518.3748003</v>
      </c>
      <c r="F31" s="9" t="n">
        <v>48.5129461161652</v>
      </c>
      <c r="G31" s="8" t="n">
        <v>8024319.74435061</v>
      </c>
      <c r="H31" s="10" t="n">
        <v>29.8495451364591</v>
      </c>
      <c r="I31" s="11" t="n">
        <v>3963718.60305866</v>
      </c>
      <c r="J31" s="12" t="n">
        <v>14.7445766270119</v>
      </c>
      <c r="K31" s="13" t="str">
        <f>=HYPERLINK("https://ucloud.univie.ac.at/index.php/f/1556102618","Open Cytogram")</f>
      </c>
      <c r="L31" s="2" t="s">
        <v>314</v>
      </c>
      <c r="M31" t="s">
        <v>314</v>
      </c>
      <c r="N31" t="s">
        <v>314</v>
      </c>
      <c r="O31" t="s">
        <v>554</v>
      </c>
    </row>
    <row r="32">
      <c r="A32" s="16" t="s">
        <v>314</v>
      </c>
      <c r="B32" s="17" t="n">
        <v>46231</v>
      </c>
      <c r="C32" s="17"/>
      <c r="D32" s="18" t="str">
        <f>IF(OR(C32="",B32=""),"",B32-C32)</f>
      </c>
      <c r="E32" s="19" t="n">
        <v>16758471.2253848</v>
      </c>
      <c r="F32" s="21" t="n">
        <v>49.1803278688525</v>
      </c>
      <c r="G32" s="20" t="n">
        <v>11021605.2275511</v>
      </c>
      <c r="H32" s="22" t="n">
        <v>32.3446065838608</v>
      </c>
      <c r="I32" s="25" t="n">
        <v>5365959.60722338</v>
      </c>
      <c r="J32" s="26" t="n">
        <v>15.7472390688313</v>
      </c>
      <c r="K32" s="23" t="str">
        <f>=HYPERLINK("https://ucloud.univie.ac.at/index.php/f/1563063010","Open Cytogram")</f>
      </c>
      <c r="L32" s="14" t="s">
        <v>314</v>
      </c>
      <c r="M32" s="15" t="s">
        <v>314</v>
      </c>
      <c r="N32" s="15" t="s">
        <v>314</v>
      </c>
      <c r="O32" s="15" t="s">
        <v>556</v>
      </c>
    </row>
    <row r="33">
      <c r="A33" s="4" t="s">
        <v>557</v>
      </c>
      <c r="B33" s="5" t="n">
        <v>46238</v>
      </c>
      <c r="C33" s="5"/>
      <c r="D33" s="6" t="str">
        <f>IF(OR(C33="",B33=""),"",B33-C33)</f>
      </c>
      <c r="E33" s="7" t="n">
        <v>1617833.93679673</v>
      </c>
      <c r="F33" s="9" t="n">
        <v>41.8204804045512</v>
      </c>
      <c r="G33" s="8" t="n">
        <v>1237339.74005312</v>
      </c>
      <c r="H33" s="10" t="n">
        <v>31.9848293299621</v>
      </c>
      <c r="I33" s="11" t="n">
        <v>718928.623667227</v>
      </c>
      <c r="J33" s="12" t="n">
        <v>18.5840707964602</v>
      </c>
      <c r="K33" s="13" t="str">
        <f>=HYPERLINK("https://ucloud.univie.ac.at/index.php/f/1567856234","Open Cytogram")</f>
      </c>
      <c r="L33" s="2" t="s">
        <v>314</v>
      </c>
      <c r="M33" t="s">
        <v>314</v>
      </c>
      <c r="N33" t="s">
        <v>314</v>
      </c>
      <c r="O33" t="s">
        <v>558</v>
      </c>
    </row>
    <row r="34">
      <c r="A34" s="16" t="s">
        <v>314</v>
      </c>
      <c r="B34" s="17" t="n">
        <v>46247</v>
      </c>
      <c r="C34" s="17"/>
      <c r="D34" s="18" t="str">
        <f>IF(OR(C34="",B34=""),"",B34-C34)</f>
      </c>
      <c r="E34" s="19" t="n">
        <v>2053456.14155643</v>
      </c>
      <c r="F34" s="21" t="n">
        <v>36.4712321269754</v>
      </c>
      <c r="G34" s="20" t="n">
        <v>1638604.84452843</v>
      </c>
      <c r="H34" s="22" t="n">
        <v>29.1030991311487</v>
      </c>
      <c r="I34" s="25" t="n">
        <v>1647464.25012884</v>
      </c>
      <c r="J34" s="26" t="n">
        <v>29.2604501607717</v>
      </c>
      <c r="K34" s="23" t="str">
        <f>=HYPERLINK("https://ucloud.univie.ac.at/index.php/f/1576432628","Open Cytogram")</f>
      </c>
      <c r="L34" s="14" t="s">
        <v>314</v>
      </c>
      <c r="M34" s="15" t="s">
        <v>314</v>
      </c>
      <c r="N34" s="15" t="s">
        <v>314</v>
      </c>
      <c r="O34" s="15" t="s">
        <v>559</v>
      </c>
    </row>
    <row r="35">
      <c r="A35" s="4" t="s">
        <v>560</v>
      </c>
      <c r="B35" s="5" t="n">
        <v>46238</v>
      </c>
      <c r="C35" s="5"/>
      <c r="D35" s="6" t="str">
        <f>IF(OR(C35="",B35=""),"",B35-C35)</f>
      </c>
      <c r="E35" s="7" t="n">
        <v>17391748.1205305</v>
      </c>
      <c r="F35" s="9" t="n">
        <v>52.6037629483475</v>
      </c>
      <c r="G35" s="8" t="n">
        <v>11740497.7935334</v>
      </c>
      <c r="H35" s="10" t="n">
        <v>35.5107697366876</v>
      </c>
      <c r="I35" s="11" t="n">
        <v>2787183.92518794</v>
      </c>
      <c r="J35" s="12" t="n">
        <v>8.43022572992272</v>
      </c>
      <c r="K35" s="13" t="str">
        <f>=HYPERLINK("https://ucloud.univie.ac.at/index.php/f/1567856234","Open Cytogram")</f>
      </c>
      <c r="L35" s="2" t="s">
        <v>314</v>
      </c>
      <c r="M35" t="s">
        <v>314</v>
      </c>
      <c r="N35" t="s">
        <v>314</v>
      </c>
      <c r="O35" t="s">
        <v>558</v>
      </c>
    </row>
    <row r="36">
      <c r="A36" s="16" t="s">
        <v>314</v>
      </c>
      <c r="B36" s="17" t="n">
        <v>46247</v>
      </c>
      <c r="C36" s="17"/>
      <c r="D36" s="18" t="str">
        <f>IF(OR(C36="",B36=""),"",B36-C36)</f>
      </c>
      <c r="E36" s="19" t="n">
        <v>13978978.9634522</v>
      </c>
      <c r="F36" s="21" t="n">
        <v>42.4977153301348</v>
      </c>
      <c r="G36" s="20" t="n">
        <v>9973443.96579344</v>
      </c>
      <c r="H36" s="22" t="n">
        <v>30.3204249485949</v>
      </c>
      <c r="I36" s="25" t="n">
        <v>7701073.14981394</v>
      </c>
      <c r="J36" s="26" t="n">
        <v>23.4121544436829</v>
      </c>
      <c r="K36" s="23" t="str">
        <f>=HYPERLINK("https://ucloud.univie.ac.at/index.php/f/1576432628","Open Cytogram")</f>
      </c>
      <c r="L36" s="14" t="s">
        <v>314</v>
      </c>
      <c r="M36" s="15" t="s">
        <v>314</v>
      </c>
      <c r="N36" s="15" t="s">
        <v>314</v>
      </c>
      <c r="O36" s="15" t="s">
        <v>559</v>
      </c>
    </row>
    <row r="37">
      <c r="A37" s="16" t="s">
        <v>561</v>
      </c>
      <c r="B37" s="17" t="n">
        <v>46153</v>
      </c>
      <c r="C37" s="17" t="n">
        <v>46136</v>
      </c>
      <c r="D37" s="18" t="str">
        <f>IF(OR(C37="",B37=""),"",B37-C37)</f>
      </c>
      <c r="E37" s="19" t="n">
        <v>5679729.69651381</v>
      </c>
      <c r="F37" s="21" t="n">
        <v>45.2202008850179</v>
      </c>
      <c r="G37" s="20" t="n">
        <v>3942198.22132214</v>
      </c>
      <c r="H37" s="22" t="n">
        <v>31.3865280606869</v>
      </c>
      <c r="I37" s="25" t="n">
        <v>2216576.71054535</v>
      </c>
      <c r="J37" s="26" t="n">
        <v>17.6476785839713</v>
      </c>
      <c r="K37" s="23" t="str">
        <f>=HYPERLINK("https://ucloud.univie.ac.at/index.php/f/1514656058","Open Cytogram")</f>
      </c>
      <c r="L37" s="14" t="s">
        <v>314</v>
      </c>
      <c r="M37" s="24" t="s">
        <v>314</v>
      </c>
      <c r="N37" s="24" t="s">
        <v>314</v>
      </c>
      <c r="O37" s="24" t="s">
        <v>529</v>
      </c>
    </row>
    <row r="38">
      <c r="A38" s="16" t="s">
        <v>562</v>
      </c>
      <c r="B38" s="17" t="n">
        <v>46183</v>
      </c>
      <c r="C38" s="17" t="n">
        <v>46171</v>
      </c>
      <c r="D38" s="18" t="str">
        <f>IF(OR(C38="",B38=""),"",B38-C38)</f>
      </c>
      <c r="E38" s="19" t="n">
        <v>10981874.7495067</v>
      </c>
      <c r="F38" s="21" t="n">
        <v>30.7409675443968</v>
      </c>
      <c r="G38" s="20" t="n">
        <v>20331591.4295387</v>
      </c>
      <c r="H38" s="22" t="n">
        <v>56.9131233525919</v>
      </c>
      <c r="I38" s="25" t="n">
        <v>3520173.08573741</v>
      </c>
      <c r="J38" s="26" t="n">
        <v>9.85382997417397</v>
      </c>
      <c r="K38" s="23" t="str">
        <f>=HYPERLINK("https://ucloud.univie.ac.at/index.php/f/1518571913","Open Cytogram")</f>
      </c>
      <c r="L38" s="14" t="s">
        <v>314</v>
      </c>
      <c r="M38" s="15" t="s">
        <v>314</v>
      </c>
      <c r="N38" s="15" t="s">
        <v>314</v>
      </c>
      <c r="O38" s="15" t="s">
        <v>534</v>
      </c>
    </row>
    <row r="39">
      <c r="A39" s="4" t="s">
        <v>563</v>
      </c>
      <c r="B39" s="5" t="n">
        <v>46183</v>
      </c>
      <c r="C39" s="5" t="n">
        <v>46171</v>
      </c>
      <c r="D39" s="6" t="str">
        <f>IF(OR(C39="",B39=""),"",B39-C39)</f>
      </c>
      <c r="E39" s="7" t="n">
        <v>10368388.7618545</v>
      </c>
      <c r="F39" s="9" t="n">
        <v>29.792292976223</v>
      </c>
      <c r="G39" s="8" t="n">
        <v>19740932.8274736</v>
      </c>
      <c r="H39" s="10" t="n">
        <v>56.7231484012025</v>
      </c>
      <c r="I39" s="11" t="n">
        <v>3775078.89145955</v>
      </c>
      <c r="J39" s="12" t="n">
        <v>10.8472260180377</v>
      </c>
      <c r="K39" s="13" t="str">
        <f>=HYPERLINK("https://ucloud.univie.ac.at/index.php/f/1518571913","Open Cytogram")</f>
      </c>
      <c r="L39" s="2" t="s">
        <v>314</v>
      </c>
      <c r="M39" t="s">
        <v>314</v>
      </c>
      <c r="N39" t="s">
        <v>314</v>
      </c>
      <c r="O39" t="s">
        <v>534</v>
      </c>
    </row>
    <row r="40">
      <c r="A40" s="16" t="s">
        <v>314</v>
      </c>
      <c r="B40" s="17" t="n">
        <v>46189</v>
      </c>
      <c r="C40" s="17" t="n">
        <v>46171</v>
      </c>
      <c r="D40" s="18" t="str">
        <f>IF(OR(C40="",B40=""),"",B40-C40)</f>
      </c>
      <c r="E40" s="19" t="n">
        <v>10094062.5575359</v>
      </c>
      <c r="F40" s="21" t="n">
        <v>46.1305286363845</v>
      </c>
      <c r="G40" s="20" t="n">
        <v>7803703.28148809</v>
      </c>
      <c r="H40" s="22" t="n">
        <v>35.6634363661416</v>
      </c>
      <c r="I40" s="25" t="n">
        <v>3187810.27802707</v>
      </c>
      <c r="J40" s="26" t="n">
        <v>14.568502273458</v>
      </c>
      <c r="K40" s="23" t="str">
        <f>=HYPERLINK("https://ucloud.univie.ac.at/index.php/f/1525440666","Open Cytogram")</f>
      </c>
      <c r="L40" s="14" t="s">
        <v>314</v>
      </c>
      <c r="M40" s="15" t="s">
        <v>314</v>
      </c>
      <c r="N40" s="15" t="s">
        <v>314</v>
      </c>
      <c r="O40" s="15" t="s">
        <v>537</v>
      </c>
    </row>
    <row r="41">
      <c r="A41" s="4" t="s">
        <v>564</v>
      </c>
      <c r="B41" s="5" t="n">
        <v>46183</v>
      </c>
      <c r="C41" s="5" t="n">
        <v>46171</v>
      </c>
      <c r="D41" s="6" t="str">
        <f>IF(OR(C41="",B41=""),"",B41-C41)</f>
      </c>
      <c r="E41" s="7" t="n">
        <v>0</v>
      </c>
      <c r="F41" s="9" t="n">
        <v>0</v>
      </c>
      <c r="G41" s="8" t="n">
        <v>9818312.17861084</v>
      </c>
      <c r="H41" s="10" t="n">
        <v>57.8495105731152</v>
      </c>
      <c r="I41" s="11" t="n">
        <v>6667498.87355289</v>
      </c>
      <c r="J41" s="12" t="n">
        <v>39.2849136964806</v>
      </c>
      <c r="K41" s="13" t="str">
        <f>=HYPERLINK("https://ucloud.univie.ac.at/index.php/f/1518571913","Open Cytogram")</f>
      </c>
      <c r="L41" s="2" t="s">
        <v>314</v>
      </c>
      <c r="M41" t="s">
        <v>314</v>
      </c>
      <c r="N41" t="s">
        <v>314</v>
      </c>
      <c r="O41" t="s">
        <v>534</v>
      </c>
    </row>
    <row r="42">
      <c r="A42" s="16" t="s">
        <v>314</v>
      </c>
      <c r="B42" s="17" t="n">
        <v>46189</v>
      </c>
      <c r="C42" s="17" t="n">
        <v>46171</v>
      </c>
      <c r="D42" s="18" t="str">
        <f>IF(OR(C42="",B42=""),"",B42-C42)</f>
      </c>
      <c r="E42" s="19" t="n">
        <v>10046891.2026459</v>
      </c>
      <c r="F42" s="21" t="n">
        <v>32.3244261047234</v>
      </c>
      <c r="G42" s="20" t="n">
        <v>7309320.36432191</v>
      </c>
      <c r="H42" s="22" t="n">
        <v>23.5166860302071</v>
      </c>
      <c r="I42" s="25" t="n">
        <v>13120043.2740507</v>
      </c>
      <c r="J42" s="26" t="n">
        <v>42.2118504867593</v>
      </c>
      <c r="K42" s="23" t="str">
        <f>=HYPERLINK("https://ucloud.univie.ac.at/index.php/f/1525440666","Open Cytogram")</f>
      </c>
      <c r="L42" s="14" t="s">
        <v>314</v>
      </c>
      <c r="M42" s="15" t="s">
        <v>314</v>
      </c>
      <c r="N42" s="15" t="s">
        <v>314</v>
      </c>
      <c r="O42" s="15" t="s">
        <v>537</v>
      </c>
    </row>
    <row r="43">
      <c r="A43" s="4" t="s">
        <v>565</v>
      </c>
      <c r="B43" s="5" t="n">
        <v>46183</v>
      </c>
      <c r="C43" s="5" t="n">
        <v>46171</v>
      </c>
      <c r="D43" s="6" t="str">
        <f>IF(OR(C43="",B43=""),"",B43-C43)</f>
      </c>
      <c r="E43" s="7" t="n">
        <v>10942877.9657954</v>
      </c>
      <c r="F43" s="9" t="n">
        <v>52.3954822843611</v>
      </c>
      <c r="G43" s="8" t="n">
        <v>4049958.65957036</v>
      </c>
      <c r="H43" s="10" t="n">
        <v>19.3915657163676</v>
      </c>
      <c r="I43" s="11" t="n">
        <v>4493190.39638571</v>
      </c>
      <c r="J43" s="12" t="n">
        <v>21.5137990709536</v>
      </c>
      <c r="K43" s="13" t="str">
        <f>=HYPERLINK("https://ucloud.univie.ac.at/index.php/f/1518571913","Open Cytogram")</f>
      </c>
      <c r="L43" s="2" t="s">
        <v>314</v>
      </c>
      <c r="M43" t="s">
        <v>314</v>
      </c>
      <c r="N43" t="s">
        <v>314</v>
      </c>
      <c r="O43" t="s">
        <v>534</v>
      </c>
    </row>
    <row r="44">
      <c r="A44" s="16" t="s">
        <v>314</v>
      </c>
      <c r="B44" s="17" t="n">
        <v>46189</v>
      </c>
      <c r="C44" s="17" t="n">
        <v>46171</v>
      </c>
      <c r="D44" s="18" t="str">
        <f>IF(OR(C44="",B44=""),"",B44-C44)</f>
      </c>
      <c r="E44" s="19" t="n">
        <v>9627278.0130236</v>
      </c>
      <c r="F44" s="21" t="n">
        <v>38.8183287698347</v>
      </c>
      <c r="G44" s="20" t="n">
        <v>2556747.15651387</v>
      </c>
      <c r="H44" s="22" t="n">
        <v>10.3091083033682</v>
      </c>
      <c r="I44" s="25" t="n">
        <v>10543616.1939182</v>
      </c>
      <c r="J44" s="26" t="n">
        <v>42.5131131857619</v>
      </c>
      <c r="K44" s="23" t="str">
        <f>=HYPERLINK("https://ucloud.univie.ac.at/index.php/f/1525440666","Open Cytogram")</f>
      </c>
      <c r="L44" s="14" t="s">
        <v>314</v>
      </c>
      <c r="M44" s="15" t="s">
        <v>314</v>
      </c>
      <c r="N44" s="15" t="s">
        <v>314</v>
      </c>
      <c r="O44" s="15" t="s">
        <v>537</v>
      </c>
    </row>
    <row r="45">
      <c r="A45" s="4" t="s">
        <v>566</v>
      </c>
      <c r="B45" s="5" t="n">
        <v>46198</v>
      </c>
      <c r="C45" s="5" t="n">
        <v>46185</v>
      </c>
      <c r="D45" s="6" t="str">
        <f>IF(OR(C45="",B45=""),"",B45-C45)</f>
      </c>
      <c r="E45" s="7" t="n">
        <v>18394485.3249767</v>
      </c>
      <c r="F45" s="9" t="n">
        <v>55.066842713319</v>
      </c>
      <c r="G45" s="8" t="n">
        <v>8231989.3114774</v>
      </c>
      <c r="H45" s="10" t="n">
        <v>24.6437806018595</v>
      </c>
      <c r="I45" s="11" t="n">
        <v>5677582.53774069</v>
      </c>
      <c r="J45" s="12" t="n">
        <v>16.9967541398471</v>
      </c>
      <c r="K45" s="13" t="str">
        <f>=HYPERLINK("https://ucloud.univie.ac.at/index.php/f/1537345796","Open Cytogram")</f>
      </c>
      <c r="L45" s="2" t="s">
        <v>314</v>
      </c>
      <c r="M45" t="s">
        <v>314</v>
      </c>
      <c r="N45" t="s">
        <v>314</v>
      </c>
      <c r="O45" t="s">
        <v>544</v>
      </c>
    </row>
    <row r="46">
      <c r="A46" s="16" t="s">
        <v>314</v>
      </c>
      <c r="B46" s="17" t="n">
        <v>46211</v>
      </c>
      <c r="C46" s="17" t="n">
        <v>46185</v>
      </c>
      <c r="D46" s="18" t="str">
        <f>IF(OR(C46="",B46=""),"",B46-C46)</f>
      </c>
      <c r="E46" s="19" t="n">
        <v>10417519.4334856</v>
      </c>
      <c r="F46" s="21" t="n">
        <v>51.5613993895281</v>
      </c>
      <c r="G46" s="20" t="n">
        <v>4979156.82941096</v>
      </c>
      <c r="H46" s="22" t="n">
        <v>24.6442826954684</v>
      </c>
      <c r="I46" s="25" t="n">
        <v>4071181.77496235</v>
      </c>
      <c r="J46" s="26" t="n">
        <v>20.1502700164358</v>
      </c>
      <c r="K46" s="23" t="str">
        <f>=HYPERLINK("https://ucloud.univie.ac.at/index.php/f/1547934963","Open Cytogram")</f>
      </c>
      <c r="L46" s="14" t="s">
        <v>314</v>
      </c>
      <c r="M46" s="15" t="s">
        <v>314</v>
      </c>
      <c r="N46" s="15" t="s">
        <v>314</v>
      </c>
      <c r="O46" s="15" t="s">
        <v>553</v>
      </c>
    </row>
    <row r="47">
      <c r="A47" s="4" t="s">
        <v>567</v>
      </c>
      <c r="B47" s="5" t="n">
        <v>46198</v>
      </c>
      <c r="C47" s="5" t="n">
        <v>46185</v>
      </c>
      <c r="D47" s="6" t="str">
        <f>IF(OR(C47="",B47=""),"",B47-C47)</f>
      </c>
      <c r="E47" s="7" t="n">
        <v>6344611.34142654</v>
      </c>
      <c r="F47" s="9" t="n">
        <v>48.4312148028962</v>
      </c>
      <c r="G47" s="8" t="n">
        <v>2425338.34708602</v>
      </c>
      <c r="H47" s="10" t="n">
        <v>18.5136765888978</v>
      </c>
      <c r="I47" s="11" t="n">
        <v>3508902.05728605</v>
      </c>
      <c r="J47" s="12" t="n">
        <v>26.7849959774739</v>
      </c>
      <c r="K47" s="13" t="str">
        <f>=HYPERLINK("https://ucloud.univie.ac.at/index.php/f/1537345796","Open Cytogram")</f>
      </c>
      <c r="L47" s="2" t="s">
        <v>314</v>
      </c>
      <c r="M47" t="s">
        <v>314</v>
      </c>
      <c r="N47" t="s">
        <v>314</v>
      </c>
      <c r="O47" t="s">
        <v>544</v>
      </c>
    </row>
    <row r="48">
      <c r="A48" s="16" t="s">
        <v>314</v>
      </c>
      <c r="B48" s="17" t="n">
        <v>46211</v>
      </c>
      <c r="C48" s="17" t="n">
        <v>46185</v>
      </c>
      <c r="D48" s="18" t="str">
        <f>IF(OR(C48="",B48=""),"",B48-C48)</f>
      </c>
      <c r="E48" s="19" t="n">
        <v>12534230.3493423</v>
      </c>
      <c r="F48" s="21" t="n">
        <v>47.89891592038</v>
      </c>
      <c r="G48" s="20" t="n">
        <v>5533239.8302448</v>
      </c>
      <c r="H48" s="22" t="n">
        <v>21.1449911170733</v>
      </c>
      <c r="I48" s="25" t="n">
        <v>7323573.08807606</v>
      </c>
      <c r="J48" s="26" t="n">
        <v>27.9866574815997</v>
      </c>
      <c r="K48" s="23" t="str">
        <f>=HYPERLINK("https://ucloud.univie.ac.at/index.php/f/1547934963","Open Cytogram")</f>
      </c>
      <c r="L48" s="14" t="s">
        <v>314</v>
      </c>
      <c r="M48" s="15" t="s">
        <v>314</v>
      </c>
      <c r="N48" s="15" t="s">
        <v>314</v>
      </c>
      <c r="O48" s="15" t="s">
        <v>553</v>
      </c>
    </row>
    <row r="49">
      <c r="A49" s="16" t="s">
        <v>382</v>
      </c>
      <c r="B49" s="17" t="n">
        <v>46204</v>
      </c>
      <c r="C49" s="17"/>
      <c r="D49" s="18" t="str">
        <f>IF(OR(C49="",B49=""),"",B49-C49)</f>
      </c>
      <c r="E49" s="19" t="n">
        <v>4176727.93212008</v>
      </c>
      <c r="F49" s="21" t="n">
        <v>33.4844175850219</v>
      </c>
      <c r="G49" s="20" t="n">
        <v>6505097.6304558</v>
      </c>
      <c r="H49" s="22" t="n">
        <v>52.1507287593317</v>
      </c>
      <c r="I49" s="25" t="n">
        <v>1136655.32329482</v>
      </c>
      <c r="J49" s="26" t="n">
        <v>9.11245408223723</v>
      </c>
      <c r="K49" s="23" t="str">
        <f>=HYPERLINK("https://ucloud.univie.ac.at/index.php/f/1543029432","Open Cytogram")</f>
      </c>
      <c r="L49" s="14" t="s">
        <v>314</v>
      </c>
      <c r="M49" s="24" t="s">
        <v>314</v>
      </c>
      <c r="N49" s="24" t="s">
        <v>314</v>
      </c>
      <c r="O49" s="24" t="s">
        <v>552</v>
      </c>
    </row>
    <row r="50">
      <c r="A50" s="4" t="s">
        <v>568</v>
      </c>
      <c r="B50" s="5" t="n">
        <v>46204</v>
      </c>
      <c r="C50" s="5" t="n">
        <v>46197</v>
      </c>
      <c r="D50" s="6" t="str">
        <f>IF(OR(C50="",B50=""),"",B50-C50)</f>
      </c>
      <c r="E50" s="7" t="n">
        <v>2020645.90722612</v>
      </c>
      <c r="F50" s="9" t="n">
        <v>55.0881454491922</v>
      </c>
      <c r="G50" s="8" t="n">
        <v>114613.066223609</v>
      </c>
      <c r="H50" s="10" t="n">
        <v>3.12465496301204</v>
      </c>
      <c r="I50" s="11" t="n">
        <v>1215924.48465965</v>
      </c>
      <c r="J50" s="12" t="n">
        <v>33.1493136064186</v>
      </c>
      <c r="K50" s="13" t="str">
        <f>=HYPERLINK("https://ucloud.univie.ac.at/index.php/f/1543029432","Open Cytogram")</f>
      </c>
      <c r="L50" s="2" t="s">
        <v>314</v>
      </c>
      <c r="M50" s="3" t="s">
        <v>314</v>
      </c>
      <c r="N50" s="3" t="s">
        <v>314</v>
      </c>
      <c r="O50" s="3" t="s">
        <v>552</v>
      </c>
    </row>
    <row r="51">
      <c r="A51" s="16" t="s">
        <v>314</v>
      </c>
      <c r="B51" s="17" t="n">
        <v>46211</v>
      </c>
      <c r="C51" s="17" t="n">
        <v>46197</v>
      </c>
      <c r="D51" s="18" t="str">
        <f>IF(OR(C51="",B51=""),"",B51-C51)</f>
      </c>
      <c r="E51" s="19" t="n">
        <v>1338640.898834</v>
      </c>
      <c r="F51" s="21" t="n">
        <v>30.2142051860203</v>
      </c>
      <c r="G51" s="20" t="n">
        <v>2287877.15411165</v>
      </c>
      <c r="H51" s="22" t="n">
        <v>51.6392333709132</v>
      </c>
      <c r="I51" s="25" t="n">
        <v>571619.643517024</v>
      </c>
      <c r="J51" s="26" t="n">
        <v>12.901916572717</v>
      </c>
      <c r="K51" s="23" t="str">
        <f>=HYPERLINK("https://ucloud.univie.ac.at/index.php/f/1547934963","Open Cytogram")</f>
      </c>
      <c r="L51" s="14" t="s">
        <v>314</v>
      </c>
      <c r="M51" s="24" t="s">
        <v>314</v>
      </c>
      <c r="N51" s="24" t="s">
        <v>314</v>
      </c>
      <c r="O51" s="24" t="s">
        <v>553</v>
      </c>
    </row>
    <row r="52">
      <c r="A52" s="4" t="s">
        <v>569</v>
      </c>
      <c r="B52" s="5" t="n">
        <v>46204</v>
      </c>
      <c r="C52" s="5" t="n">
        <v>46197</v>
      </c>
      <c r="D52" s="6" t="str">
        <f>IF(OR(C52="",B52=""),"",B52-C52)</f>
      </c>
      <c r="E52" s="7" t="n">
        <v>4696939.2596059</v>
      </c>
      <c r="F52" s="9" t="n">
        <v>31.8418961406903</v>
      </c>
      <c r="G52" s="8" t="n">
        <v>5285585.61863854</v>
      </c>
      <c r="H52" s="10" t="n">
        <v>35.8324983588433</v>
      </c>
      <c r="I52" s="11" t="n">
        <v>2822954.27072017</v>
      </c>
      <c r="J52" s="12" t="n">
        <v>19.1376153128563</v>
      </c>
      <c r="K52" s="13" t="str">
        <f>=HYPERLINK("https://ucloud.univie.ac.at/index.php/f/1543029432","Open Cytogram")</f>
      </c>
      <c r="L52" s="2" t="s">
        <v>314</v>
      </c>
      <c r="M52" s="3" t="s">
        <v>314</v>
      </c>
      <c r="N52" s="3" t="s">
        <v>314</v>
      </c>
      <c r="O52" s="3" t="s">
        <v>552</v>
      </c>
    </row>
    <row r="53">
      <c r="A53" s="16" t="s">
        <v>314</v>
      </c>
      <c r="B53" s="17" t="n">
        <v>46211</v>
      </c>
      <c r="C53" s="17" t="n">
        <v>46197</v>
      </c>
      <c r="D53" s="18" t="str">
        <f>IF(OR(C53="",B53=""),"",B53-C53)</f>
      </c>
      <c r="E53" s="19" t="n">
        <v>15863472.2156538</v>
      </c>
      <c r="F53" s="21" t="n">
        <v>70.3466846179737</v>
      </c>
      <c r="G53" s="20" t="n">
        <v>2749542.01441177</v>
      </c>
      <c r="H53" s="22" t="n">
        <v>12.1928643554359</v>
      </c>
      <c r="I53" s="25" t="n">
        <v>3503815.96246468</v>
      </c>
      <c r="J53" s="26" t="n">
        <v>15.537697744867</v>
      </c>
      <c r="K53" s="23" t="str">
        <f>=HYPERLINK("https://ucloud.univie.ac.at/index.php/f/1547934963","Open Cytogram")</f>
      </c>
      <c r="L53" s="14" t="s">
        <v>314</v>
      </c>
      <c r="M53" s="24" t="s">
        <v>314</v>
      </c>
      <c r="N53" s="24" t="s">
        <v>314</v>
      </c>
      <c r="O53" s="24" t="s">
        <v>553</v>
      </c>
    </row>
    <row r="54">
      <c r="A54" s="4" t="s">
        <v>570</v>
      </c>
      <c r="B54" s="5" t="n">
        <v>46211</v>
      </c>
      <c r="C54" s="5" t="n">
        <v>46203</v>
      </c>
      <c r="D54" s="6" t="str">
        <f>IF(OR(C54="",B54=""),"",B54-C54)</f>
      </c>
      <c r="E54" s="7" t="n">
        <v>9917176.3949311</v>
      </c>
      <c r="F54" s="9" t="n">
        <v>38.0678657519006</v>
      </c>
      <c r="G54" s="8" t="n">
        <v>10588626.7207447</v>
      </c>
      <c r="H54" s="10" t="n">
        <v>40.6452809197107</v>
      </c>
      <c r="I54" s="11" t="n">
        <v>4941681.17487312</v>
      </c>
      <c r="J54" s="12" t="n">
        <v>18.969033932876</v>
      </c>
      <c r="K54" s="13" t="str">
        <f>=HYPERLINK("https://ucloud.univie.ac.at/index.php/f/1547934963","Open Cytogram")</f>
      </c>
      <c r="L54" s="2" t="s">
        <v>314</v>
      </c>
      <c r="M54" s="3" t="s">
        <v>314</v>
      </c>
      <c r="N54" s="3" t="s">
        <v>314</v>
      </c>
      <c r="O54" s="3" t="s">
        <v>553</v>
      </c>
    </row>
    <row r="55">
      <c r="A55" s="16" t="s">
        <v>314</v>
      </c>
      <c r="B55" s="17" t="n">
        <v>46218</v>
      </c>
      <c r="C55" s="17" t="n">
        <v>46203</v>
      </c>
      <c r="D55" s="18" t="str">
        <f>IF(OR(C55="",B55=""),"",B55-C55)</f>
      </c>
      <c r="E55" s="19" t="n">
        <v>7306218.51586047</v>
      </c>
      <c r="F55" s="21" t="n">
        <v>39.9331574318382</v>
      </c>
      <c r="G55" s="20" t="n">
        <v>5682900.47366154</v>
      </c>
      <c r="H55" s="22" t="n">
        <v>31.0606860158311</v>
      </c>
      <c r="I55" s="25" t="n">
        <v>4792070.90569828</v>
      </c>
      <c r="J55" s="26" t="n">
        <v>26.1917326297274</v>
      </c>
      <c r="K55" s="23" t="str">
        <f>=HYPERLINK("https://ucloud.univie.ac.at/index.php/f/1552579888","Open Cytogram")</f>
      </c>
      <c r="L55" s="14" t="s">
        <v>314</v>
      </c>
      <c r="M55" s="24" t="s">
        <v>314</v>
      </c>
      <c r="N55" s="24" t="s">
        <v>314</v>
      </c>
      <c r="O55" s="24" t="s">
        <v>571</v>
      </c>
    </row>
    <row r="56">
      <c r="A56" s="4" t="s">
        <v>572</v>
      </c>
      <c r="B56" s="5" t="n">
        <v>46224</v>
      </c>
      <c r="C56" s="5"/>
      <c r="D56" s="6" t="str">
        <f>IF(OR(C56="",B56=""),"",B56-C56)</f>
      </c>
      <c r="E56" s="7" t="n">
        <v>4907259.65147453</v>
      </c>
      <c r="F56" s="9" t="n">
        <v>28.4052757793765</v>
      </c>
      <c r="G56" s="8" t="n">
        <v>6441511.93029491</v>
      </c>
      <c r="H56" s="10" t="n">
        <v>37.2861710631495</v>
      </c>
      <c r="I56" s="11" t="n">
        <v>5180690.75067024</v>
      </c>
      <c r="J56" s="12" t="n">
        <v>29.9880095923261</v>
      </c>
      <c r="K56" s="13" t="str">
        <f>=HYPERLINK("https://ucloud.univie.ac.at/index.php/f/1556102618","Open Cytogram")</f>
      </c>
      <c r="L56" s="2" t="s">
        <v>314</v>
      </c>
      <c r="M56" s="3" t="s">
        <v>314</v>
      </c>
      <c r="N56" s="3" t="s">
        <v>314</v>
      </c>
      <c r="O56" s="3" t="s">
        <v>554</v>
      </c>
    </row>
    <row r="57">
      <c r="A57" s="16" t="s">
        <v>314</v>
      </c>
      <c r="B57" s="17" t="n">
        <v>46231</v>
      </c>
      <c r="C57" s="17"/>
      <c r="D57" s="18" t="str">
        <f>IF(OR(C57="",B57=""),"",B57-C57)</f>
      </c>
      <c r="E57" s="19" t="n">
        <v>3124277.18806043</v>
      </c>
      <c r="F57" s="21" t="n">
        <v>15.3016574585635</v>
      </c>
      <c r="G57" s="20" t="n">
        <v>11013483.1898006</v>
      </c>
      <c r="H57" s="22" t="n">
        <v>53.9403314917127</v>
      </c>
      <c r="I57" s="25" t="n">
        <v>5746792.93286217</v>
      </c>
      <c r="J57" s="26" t="n">
        <v>28.1458563535912</v>
      </c>
      <c r="K57" s="23" t="str">
        <f>=HYPERLINK("https://ucloud.univie.ac.at/index.php/f/1563063010","Open Cytogram")</f>
      </c>
      <c r="L57" s="14" t="s">
        <v>314</v>
      </c>
      <c r="M57" s="24" t="s">
        <v>314</v>
      </c>
      <c r="N57" s="24" t="s">
        <v>314</v>
      </c>
      <c r="O57" s="24" t="s">
        <v>556</v>
      </c>
    </row>
    <row r="58">
      <c r="A58" s="4" t="s">
        <v>573</v>
      </c>
      <c r="B58" s="5" t="n">
        <v>46224</v>
      </c>
      <c r="C58" s="5"/>
      <c r="D58" s="6" t="str">
        <f>IF(OR(C58="",B58=""),"",B58-C58)</f>
      </c>
      <c r="E58" s="7" t="n">
        <v>9052917.02412869</v>
      </c>
      <c r="F58" s="9" t="n">
        <v>34.4012384550798</v>
      </c>
      <c r="G58" s="8" t="n">
        <v>6431845.17426273</v>
      </c>
      <c r="H58" s="10" t="n">
        <v>24.441120906801</v>
      </c>
      <c r="I58" s="11" t="n">
        <v>9806923.99463807</v>
      </c>
      <c r="J58" s="12" t="n">
        <v>37.2664777497901</v>
      </c>
      <c r="K58" s="13" t="str">
        <f>=HYPERLINK("https://ucloud.univie.ac.at/index.php/f/1556102618","Open Cytogram")</f>
      </c>
      <c r="L58" s="2" t="s">
        <v>314</v>
      </c>
      <c r="M58" s="3" t="s">
        <v>314</v>
      </c>
      <c r="N58" s="3" t="s">
        <v>314</v>
      </c>
      <c r="O58" s="3" t="s">
        <v>554</v>
      </c>
    </row>
    <row r="59">
      <c r="A59" s="16" t="s">
        <v>314</v>
      </c>
      <c r="B59" s="17" t="n">
        <v>46231</v>
      </c>
      <c r="C59" s="17"/>
      <c r="D59" s="18" t="str">
        <f>IF(OR(C59="",B59=""),"",B59-C59)</f>
      </c>
      <c r="E59" s="19" t="n">
        <v>3321913.43999146</v>
      </c>
      <c r="F59" s="21" t="n">
        <v>17.1920975199664</v>
      </c>
      <c r="G59" s="20" t="n">
        <v>10047863.1461193</v>
      </c>
      <c r="H59" s="22" t="n">
        <v>52.0013077390127</v>
      </c>
      <c r="I59" s="25" t="n">
        <v>5393935.51503097</v>
      </c>
      <c r="J59" s="26" t="n">
        <v>27.9155574237541</v>
      </c>
      <c r="K59" s="23" t="str">
        <f>=HYPERLINK("https://ucloud.univie.ac.at/index.php/f/1563063010","Open Cytogram")</f>
      </c>
      <c r="L59" s="14" t="s">
        <v>314</v>
      </c>
      <c r="M59" s="24" t="s">
        <v>314</v>
      </c>
      <c r="N59" s="24" t="s">
        <v>314</v>
      </c>
      <c r="O59" s="24" t="s">
        <v>556</v>
      </c>
    </row>
    <row r="60">
      <c r="A60" s="16" t="s">
        <v>394</v>
      </c>
      <c r="B60" s="17" t="n">
        <v>46231</v>
      </c>
      <c r="C60" s="17"/>
      <c r="D60" s="18" t="str">
        <f>IF(OR(C60="",B60=""),"",B60-C60)</f>
      </c>
      <c r="E60" s="19" t="n">
        <v>2147827.76071168</v>
      </c>
      <c r="F60" s="21" t="n">
        <v>8.87364378658514</v>
      </c>
      <c r="G60" s="20" t="n">
        <v>12220959.4687217</v>
      </c>
      <c r="H60" s="22" t="n">
        <v>50.4902874613176</v>
      </c>
      <c r="I60" s="25" t="n">
        <v>8554310.64864958</v>
      </c>
      <c r="J60" s="26" t="n">
        <v>35.3417098542187</v>
      </c>
      <c r="K60" s="23" t="str">
        <f>=HYPERLINK("https://ucloud.univie.ac.at/index.php/f/1563063010","Open Cytogram")</f>
      </c>
      <c r="L60" s="14" t="s">
        <v>314</v>
      </c>
      <c r="M60" s="15" t="s">
        <v>314</v>
      </c>
      <c r="N60" s="15" t="s">
        <v>314</v>
      </c>
      <c r="O60" s="15" t="s">
        <v>556</v>
      </c>
    </row>
    <row r="61">
      <c r="A61" s="16" t="s">
        <v>574</v>
      </c>
      <c r="B61" s="17" t="n">
        <v>46224</v>
      </c>
      <c r="C61" s="17"/>
      <c r="D61" s="18" t="str">
        <f>IF(OR(C61="",B61=""),"",B61-C61)</f>
      </c>
      <c r="E61" s="19" t="n">
        <v>15337540.4702123</v>
      </c>
      <c r="F61" s="21" t="n">
        <v>53.9933774834437</v>
      </c>
      <c r="G61" s="20" t="n">
        <v>4844126.911664</v>
      </c>
      <c r="H61" s="22" t="n">
        <v>17.0529801324503</v>
      </c>
      <c r="I61" s="25" t="n">
        <v>7370597.76306779</v>
      </c>
      <c r="J61" s="26" t="n">
        <v>25.9470198675497</v>
      </c>
      <c r="K61" s="23" t="str">
        <f>=HYPERLINK("https://ucloud.univie.ac.at/index.php/f/1556102618","Open Cytogram")</f>
      </c>
      <c r="L61" s="14" t="s">
        <v>314</v>
      </c>
      <c r="M61" s="24" t="s">
        <v>314</v>
      </c>
      <c r="N61" s="24" t="s">
        <v>314</v>
      </c>
      <c r="O61" s="24" t="s">
        <v>554</v>
      </c>
    </row>
    <row r="62">
      <c r="A62" s="16" t="s">
        <v>575</v>
      </c>
      <c r="B62" s="17" t="n">
        <v>46224</v>
      </c>
      <c r="C62" s="17"/>
      <c r="D62" s="18" t="str">
        <f>IF(OR(C62="",B62=""),"",B62-C62)</f>
      </c>
      <c r="E62" s="19" t="n">
        <v>10909624.6648794</v>
      </c>
      <c r="F62" s="21" t="n">
        <v>48.8649718562504</v>
      </c>
      <c r="G62" s="20" t="n">
        <v>3460008.1769437</v>
      </c>
      <c r="H62" s="22" t="n">
        <v>15.4976186058019</v>
      </c>
      <c r="I62" s="25" t="n">
        <v>7085732.17158177</v>
      </c>
      <c r="J62" s="26" t="n">
        <v>31.7374899486609</v>
      </c>
      <c r="K62" s="23" t="str">
        <f>=HYPERLINK("https://ucloud.univie.ac.at/index.php/f/1556102618","Open Cytogram")</f>
      </c>
      <c r="L62" s="14" t="s">
        <v>314</v>
      </c>
      <c r="M62" s="15" t="s">
        <v>314</v>
      </c>
      <c r="N62" s="15" t="s">
        <v>314</v>
      </c>
      <c r="O62" s="15" t="s">
        <v>554</v>
      </c>
    </row>
    <row r="63">
      <c r="A63" s="16" t="s">
        <v>576</v>
      </c>
      <c r="B63" s="17" t="n">
        <v>46224</v>
      </c>
      <c r="C63" s="17"/>
      <c r="D63" s="18" t="str">
        <f>IF(OR(C63="",B63=""),"",B63-C63)</f>
      </c>
      <c r="E63" s="19" t="n">
        <v>12287137.3994638</v>
      </c>
      <c r="F63" s="21" t="n">
        <v>47.3750066556626</v>
      </c>
      <c r="G63" s="20" t="n">
        <v>4098704.55764075</v>
      </c>
      <c r="H63" s="22" t="n">
        <v>15.8032053671264</v>
      </c>
      <c r="I63" s="25" t="n">
        <v>8402482.43967828</v>
      </c>
      <c r="J63" s="26" t="n">
        <v>32.39710345562</v>
      </c>
      <c r="K63" s="23" t="str">
        <f>=HYPERLINK("https://ucloud.univie.ac.at/index.php/f/1556102618","Open Cytogram")</f>
      </c>
      <c r="L63" s="14" t="s">
        <v>314</v>
      </c>
      <c r="M63" s="24" t="s">
        <v>314</v>
      </c>
      <c r="N63" s="24" t="s">
        <v>314</v>
      </c>
      <c r="O63" s="24" t="s">
        <v>554</v>
      </c>
    </row>
    <row r="64">
      <c r="A64" s="4" t="s">
        <v>577</v>
      </c>
      <c r="B64" s="5" t="n">
        <v>46238</v>
      </c>
      <c r="C64" s="5"/>
      <c r="D64" s="6" t="str">
        <f>IF(OR(C64="",B64=""),"",B64-C64)</f>
      </c>
      <c r="E64" s="7" t="n">
        <v>1061599.44991137</v>
      </c>
      <c r="F64" s="9" t="n">
        <v>21.8790012804097</v>
      </c>
      <c r="G64" s="8" t="n">
        <v>1313214.8279445</v>
      </c>
      <c r="H64" s="10" t="n">
        <v>27.0646606914213</v>
      </c>
      <c r="I64" s="11" t="n">
        <v>2023018.70301326</v>
      </c>
      <c r="J64" s="12" t="n">
        <v>41.6933418693982</v>
      </c>
      <c r="K64" s="13" t="str">
        <f>=HYPERLINK("https://ucloud.univie.ac.at/index.php/f/1567856234","Open Cytogram")</f>
      </c>
      <c r="L64" s="2" t="s">
        <v>314</v>
      </c>
      <c r="M64" s="3" t="s">
        <v>314</v>
      </c>
      <c r="N64" s="3" t="s">
        <v>314</v>
      </c>
      <c r="O64" s="3" t="s">
        <v>558</v>
      </c>
    </row>
    <row r="65">
      <c r="A65" s="16" t="s">
        <v>314</v>
      </c>
      <c r="B65" s="17" t="n">
        <v>46247</v>
      </c>
      <c r="C65" s="17"/>
      <c r="D65" s="18" t="str">
        <f>IF(OR(C65="",B65=""),"",B65-C65)</f>
      </c>
      <c r="E65" s="19" t="n">
        <v>14079493.0921458</v>
      </c>
      <c r="F65" s="21" t="n">
        <v>39.7549136627676</v>
      </c>
      <c r="G65" s="20" t="n">
        <v>10521105.0595165</v>
      </c>
      <c r="H65" s="22" t="n">
        <v>29.7074348160526</v>
      </c>
      <c r="I65" s="25" t="n">
        <v>9849445.22759199</v>
      </c>
      <c r="J65" s="26" t="n">
        <v>27.8109333969921</v>
      </c>
      <c r="K65" s="23" t="str">
        <f>=HYPERLINK("https://ucloud.univie.ac.at/index.php/f/1576432628","Open Cytogram")</f>
      </c>
      <c r="L65" s="14" t="s">
        <v>314</v>
      </c>
      <c r="M65" s="24" t="s">
        <v>314</v>
      </c>
      <c r="N65" s="24" t="s">
        <v>314</v>
      </c>
      <c r="O65" s="24" t="s">
        <v>559</v>
      </c>
    </row>
    <row r="66">
      <c r="A66" s="4" t="s">
        <v>578</v>
      </c>
      <c r="B66" s="5" t="n">
        <v>46238</v>
      </c>
      <c r="C66" s="5"/>
      <c r="D66" s="6" t="str">
        <f>IF(OR(C66="",B66=""),"",B66-C66)</f>
      </c>
      <c r="E66" s="7" t="n">
        <v>7695236.9781798</v>
      </c>
      <c r="F66" s="9" t="n">
        <v>34.7598835373768</v>
      </c>
      <c r="G66" s="8" t="n">
        <v>7150846.91644764</v>
      </c>
      <c r="H66" s="10" t="n">
        <v>32.3008383905707</v>
      </c>
      <c r="I66" s="11" t="n">
        <v>6194863.79805634</v>
      </c>
      <c r="J66" s="12" t="n">
        <v>27.9826007647245</v>
      </c>
      <c r="K66" s="13" t="str">
        <f>=HYPERLINK("https://ucloud.univie.ac.at/index.php/f/1567856234","Open Cytogram")</f>
      </c>
      <c r="L66" s="2" t="s">
        <v>314</v>
      </c>
      <c r="M66" s="3" t="s">
        <v>314</v>
      </c>
      <c r="N66" s="3" t="s">
        <v>314</v>
      </c>
      <c r="O66" s="3" t="s">
        <v>558</v>
      </c>
    </row>
    <row r="67">
      <c r="A67" s="16" t="s">
        <v>314</v>
      </c>
      <c r="B67" s="17" t="n">
        <v>46247</v>
      </c>
      <c r="C67" s="17"/>
      <c r="D67" s="18" t="str">
        <f>IF(OR(C67="",B67=""),"",B67-C67)</f>
      </c>
      <c r="E67" s="19" t="n">
        <v>9978140.88769501</v>
      </c>
      <c r="F67" s="21" t="n">
        <v>38.4242511937491</v>
      </c>
      <c r="G67" s="20" t="n">
        <v>7009686.24590286</v>
      </c>
      <c r="H67" s="22" t="n">
        <v>26.9931992475763</v>
      </c>
      <c r="I67" s="25" t="n">
        <v>8467610.80415014</v>
      </c>
      <c r="J67" s="26" t="n">
        <v>32.607437418608</v>
      </c>
      <c r="K67" s="23" t="str">
        <f>=HYPERLINK("https://ucloud.univie.ac.at/index.php/f/1576432628","Open Cytogram")</f>
      </c>
      <c r="L67" s="14" t="s">
        <v>314</v>
      </c>
      <c r="M67" s="24" t="s">
        <v>314</v>
      </c>
      <c r="N67" s="24" t="s">
        <v>314</v>
      </c>
      <c r="O67" s="24" t="s">
        <v>559</v>
      </c>
    </row>
    <row r="68">
      <c r="A68" s="4" t="s">
        <v>579</v>
      </c>
      <c r="B68" s="5" t="n">
        <v>46238</v>
      </c>
      <c r="C68" s="5"/>
      <c r="D68" s="6" t="str">
        <f>IF(OR(C68="",B68=""),"",B68-C68)</f>
      </c>
      <c r="E68" s="7" t="n">
        <v>5619410.10940651</v>
      </c>
      <c r="F68" s="9" t="n">
        <v>31.5376569037657</v>
      </c>
      <c r="G68" s="8" t="n">
        <v>4681288.57649287</v>
      </c>
      <c r="H68" s="10" t="n">
        <v>26.2726638772664</v>
      </c>
      <c r="I68" s="11" t="n">
        <v>5072690.27565551</v>
      </c>
      <c r="J68" s="12" t="n">
        <v>28.4693165969317</v>
      </c>
      <c r="K68" s="13" t="str">
        <f>=HYPERLINK("https://ucloud.univie.ac.at/index.php/f/1567856234","Open Cytogram")</f>
      </c>
      <c r="L68" s="13" t="str">
        <f>=HYPERLINK("https://ucloud.univie.ac.at/index.php/f/1568324104","Open Microscopy")</f>
      </c>
      <c r="M68" s="3" t="s">
        <v>580</v>
      </c>
      <c r="N68" s="3" t="s">
        <v>314</v>
      </c>
      <c r="O68" s="3" t="s">
        <v>558</v>
      </c>
    </row>
    <row r="69">
      <c r="A69" s="16" t="s">
        <v>314</v>
      </c>
      <c r="B69" s="17" t="n">
        <v>46247</v>
      </c>
      <c r="C69" s="17"/>
      <c r="D69" s="18" t="str">
        <f>IF(OR(C69="",B69=""),"",B69-C69)</f>
      </c>
      <c r="E69" s="19" t="n">
        <v>8723123.35559554</v>
      </c>
      <c r="F69" s="21" t="n">
        <v>37.1811811811812</v>
      </c>
      <c r="G69" s="20" t="n">
        <v>6754173.69445746</v>
      </c>
      <c r="H69" s="22" t="n">
        <v>28.7887887887888</v>
      </c>
      <c r="I69" s="25" t="n">
        <v>7550771.6489637</v>
      </c>
      <c r="J69" s="26" t="n">
        <v>32.1841841841842</v>
      </c>
      <c r="K69" s="23" t="str">
        <f>=HYPERLINK("https://ucloud.univie.ac.at/index.php/f/1576432628","Open Cytogram")</f>
      </c>
      <c r="L69" s="14" t="s">
        <v>314</v>
      </c>
      <c r="M69" s="24" t="s">
        <v>314</v>
      </c>
      <c r="N69" s="24" t="s">
        <v>314</v>
      </c>
      <c r="O69" s="24" t="s">
        <v>559</v>
      </c>
    </row>
    <row r="70">
      <c r="A70" s="4" t="s">
        <v>581</v>
      </c>
      <c r="B70" s="5" t="n">
        <v>46238</v>
      </c>
      <c r="C70" s="5"/>
      <c r="D70" s="6" t="str">
        <f>IF(OR(C70="",B70=""),"",B70-C70)</f>
      </c>
      <c r="E70" s="7" t="n">
        <v>4703033.11533524</v>
      </c>
      <c r="F70" s="9" t="n">
        <v>24.6831057672712</v>
      </c>
      <c r="G70" s="8" t="n">
        <v>5420602.89713342</v>
      </c>
      <c r="H70" s="10" t="n">
        <v>28.449154269411</v>
      </c>
      <c r="I70" s="11" t="n">
        <v>7949182.12823176</v>
      </c>
      <c r="J70" s="12" t="n">
        <v>41.7199918483799</v>
      </c>
      <c r="K70" s="13" t="str">
        <f>=HYPERLINK("https://ucloud.univie.ac.at/index.php/f/1567856234","Open Cytogram")</f>
      </c>
      <c r="L70" s="2" t="s">
        <v>314</v>
      </c>
      <c r="M70" s="3" t="s">
        <v>314</v>
      </c>
      <c r="N70" s="3" t="s">
        <v>314</v>
      </c>
      <c r="O70" s="3" t="s">
        <v>558</v>
      </c>
    </row>
    <row r="71">
      <c r="A71" s="16" t="s">
        <v>314</v>
      </c>
      <c r="B71" s="17" t="n">
        <v>46247</v>
      </c>
      <c r="C71" s="17"/>
      <c r="D71" s="18" t="str">
        <f>IF(OR(C71="",B71=""),"",B71-C71)</f>
      </c>
      <c r="E71" s="19" t="n">
        <v>13189896.0839885</v>
      </c>
      <c r="F71" s="21" t="n">
        <v>33.1476191600368</v>
      </c>
      <c r="G71" s="20" t="n">
        <v>9481206.55050892</v>
      </c>
      <c r="H71" s="22" t="n">
        <v>23.8272858188343</v>
      </c>
      <c r="I71" s="25" t="n">
        <v>16668436.4442911</v>
      </c>
      <c r="J71" s="26" t="n">
        <v>41.8895630208456</v>
      </c>
      <c r="K71" s="23" t="str">
        <f>=HYPERLINK("https://ucloud.univie.ac.at/index.php/f/1576432628","Open Cytogram")</f>
      </c>
      <c r="L71" s="14" t="s">
        <v>314</v>
      </c>
      <c r="M71" s="24" t="s">
        <v>314</v>
      </c>
      <c r="N71" s="24" t="s">
        <v>314</v>
      </c>
      <c r="O71" s="24" t="s">
        <v>559</v>
      </c>
    </row>
    <row r="72">
      <c r="A72" s="4" t="s">
        <v>582</v>
      </c>
      <c r="B72" s="5" t="n">
        <v>46153</v>
      </c>
      <c r="C72" s="5" t="n">
        <v>46115</v>
      </c>
      <c r="D72" s="6" t="str">
        <f>IF(OR(C72="",B72=""),"",B72-C72)</f>
      </c>
      <c r="E72" s="7" t="n">
        <v>996025.912917691</v>
      </c>
      <c r="F72" s="9" t="n">
        <v>43.6581593194122</v>
      </c>
      <c r="G72" s="8" t="n">
        <v>640050.309851005</v>
      </c>
      <c r="H72" s="10" t="n">
        <v>28.0549110595514</v>
      </c>
      <c r="I72" s="11" t="n">
        <v>453019.757558223</v>
      </c>
      <c r="J72" s="12" t="n">
        <v>19.8569218870843</v>
      </c>
      <c r="K72" s="13" t="str">
        <f>=HYPERLINK("https://ucloud.univie.ac.at/index.php/f/1514656058","Open Cytogram")</f>
      </c>
      <c r="L72" s="2" t="s">
        <v>314</v>
      </c>
      <c r="M72" s="3" t="s">
        <v>314</v>
      </c>
      <c r="N72" s="3" t="s">
        <v>314</v>
      </c>
      <c r="O72" s="3" t="s">
        <v>529</v>
      </c>
    </row>
    <row r="73">
      <c r="A73" s="16" t="s">
        <v>314</v>
      </c>
      <c r="B73" s="17" t="n">
        <v>46162</v>
      </c>
      <c r="C73" s="17" t="n">
        <v>46115</v>
      </c>
      <c r="D73" s="18" t="str">
        <f>IF(OR(C73="",B73=""),"",B73-C73)</f>
      </c>
      <c r="E73" s="19" t="n">
        <v>6200762.68563797</v>
      </c>
      <c r="F73" s="21" t="n">
        <v>49.7997010463378</v>
      </c>
      <c r="G73" s="20" t="n">
        <v>2030565.52108027</v>
      </c>
      <c r="H73" s="22" t="n">
        <v>16.3079222720478</v>
      </c>
      <c r="I73" s="25" t="n">
        <v>3347176.01568356</v>
      </c>
      <c r="J73" s="26" t="n">
        <v>26.881913303438</v>
      </c>
      <c r="K73" s="23" t="str">
        <f>=HYPERLINK("https://ucloud.univie.ac.at/index.php/f/1515117418","Open Cytogram")</f>
      </c>
      <c r="L73" s="14" t="s">
        <v>314</v>
      </c>
      <c r="M73" s="24" t="s">
        <v>314</v>
      </c>
      <c r="N73" s="24" t="s">
        <v>314</v>
      </c>
      <c r="O73" s="24" t="s">
        <v>583</v>
      </c>
    </row>
    <row r="74">
      <c r="A74" s="4" t="s">
        <v>584</v>
      </c>
      <c r="B74" s="5" t="n">
        <v>46153</v>
      </c>
      <c r="C74" s="5" t="n">
        <v>46115</v>
      </c>
      <c r="D74" s="6" t="str">
        <f>IF(OR(C74="",B74=""),"",B74-C74)</f>
      </c>
      <c r="E74" s="7" t="n">
        <v>4142967.54450357</v>
      </c>
      <c r="F74" s="9" t="n">
        <v>51.5392146198194</v>
      </c>
      <c r="G74" s="8" t="n">
        <v>2012898.1189209</v>
      </c>
      <c r="H74" s="10" t="n">
        <v>25.0407919068857</v>
      </c>
      <c r="I74" s="11" t="n">
        <v>1239917.26004771</v>
      </c>
      <c r="J74" s="12" t="n">
        <v>15.4247797237028</v>
      </c>
      <c r="K74" s="13" t="str">
        <f>=HYPERLINK("https://ucloud.univie.ac.at/index.php/f/1514656058","Open Cytogram")</f>
      </c>
      <c r="L74" s="2" t="s">
        <v>314</v>
      </c>
      <c r="M74" s="3" t="s">
        <v>314</v>
      </c>
      <c r="N74" s="3" t="s">
        <v>314</v>
      </c>
      <c r="O74" s="3" t="s">
        <v>529</v>
      </c>
    </row>
    <row r="75">
      <c r="A75" s="16" t="s">
        <v>314</v>
      </c>
      <c r="B75" s="17" t="n">
        <v>46162</v>
      </c>
      <c r="C75" s="17" t="n">
        <v>46115</v>
      </c>
      <c r="D75" s="18" t="str">
        <f>IF(OR(C75="",B75=""),"",B75-C75)</f>
      </c>
      <c r="E75" s="19" t="n">
        <v>5402309.33225261</v>
      </c>
      <c r="F75" s="21" t="n">
        <v>53.8116425658139</v>
      </c>
      <c r="G75" s="20" t="n">
        <v>1552982.4663514</v>
      </c>
      <c r="H75" s="22" t="n">
        <v>15.4690396737115</v>
      </c>
      <c r="I75" s="25" t="n">
        <v>2377120.33320231</v>
      </c>
      <c r="J75" s="26" t="n">
        <v>23.6781609195402</v>
      </c>
      <c r="K75" s="23" t="str">
        <f>=HYPERLINK("https://ucloud.univie.ac.at/index.php/f/1515117418","Open Cytogram")</f>
      </c>
      <c r="L75" s="14" t="s">
        <v>314</v>
      </c>
      <c r="M75" s="24" t="s">
        <v>314</v>
      </c>
      <c r="N75" s="24" t="s">
        <v>314</v>
      </c>
      <c r="O75" s="24" t="s">
        <v>583</v>
      </c>
    </row>
    <row r="76">
      <c r="A76" s="4" t="s">
        <v>585</v>
      </c>
      <c r="B76" s="5" t="n">
        <v>46153</v>
      </c>
      <c r="C76" s="5" t="n">
        <v>46115</v>
      </c>
      <c r="D76" s="6" t="str">
        <f>IF(OR(C76="",B76=""),"",B76-C76)</f>
      </c>
      <c r="E76" s="7" t="n">
        <v>6619518.58361199</v>
      </c>
      <c r="F76" s="9" t="n">
        <v>52.3712737127371</v>
      </c>
      <c r="G76" s="8" t="n">
        <v>4177628.30702231</v>
      </c>
      <c r="H76" s="10" t="n">
        <v>33.0519074421513</v>
      </c>
      <c r="I76" s="11" t="n">
        <v>847119.205744354</v>
      </c>
      <c r="J76" s="12" t="n">
        <v>6.70210548259329</v>
      </c>
      <c r="K76" s="13" t="str">
        <f>=HYPERLINK("https://ucloud.univie.ac.at/index.php/f/1514656058","Open Cytogram")</f>
      </c>
      <c r="L76" s="2" t="s">
        <v>314</v>
      </c>
      <c r="M76" s="3" t="s">
        <v>314</v>
      </c>
      <c r="N76" s="3" t="s">
        <v>314</v>
      </c>
      <c r="O76" s="3" t="s">
        <v>529</v>
      </c>
    </row>
    <row r="77">
      <c r="A77" s="16" t="s">
        <v>314</v>
      </c>
      <c r="B77" s="17" t="n">
        <v>46162</v>
      </c>
      <c r="C77" s="17" t="n">
        <v>46115</v>
      </c>
      <c r="D77" s="18" t="str">
        <f>IF(OR(C77="",B77=""),"",B77-C77)</f>
      </c>
      <c r="E77" s="19" t="n">
        <v>7198736.31753829</v>
      </c>
      <c r="F77" s="21" t="n">
        <v>52.2887657158307</v>
      </c>
      <c r="G77" s="20" t="n">
        <v>2958558.15977012</v>
      </c>
      <c r="H77" s="22" t="n">
        <v>21.4897931593889</v>
      </c>
      <c r="I77" s="25" t="n">
        <v>3117132.11247043</v>
      </c>
      <c r="J77" s="26" t="n">
        <v>22.6416114641071</v>
      </c>
      <c r="K77" s="23" t="str">
        <f>=HYPERLINK("https://ucloud.univie.ac.at/index.php/f/1515117418","Open Cytogram")</f>
      </c>
      <c r="L77" s="14" t="s">
        <v>314</v>
      </c>
      <c r="M77" s="24" t="s">
        <v>314</v>
      </c>
      <c r="N77" s="24" t="s">
        <v>314</v>
      </c>
      <c r="O77" s="24" t="s">
        <v>583</v>
      </c>
    </row>
    <row r="78">
      <c r="A78" s="4" t="s">
        <v>586</v>
      </c>
      <c r="B78" s="5" t="n">
        <v>46153</v>
      </c>
      <c r="C78" s="5" t="n">
        <v>46115</v>
      </c>
      <c r="D78" s="6" t="str">
        <f>IF(OR(C78="",B78=""),"",B78-C78)</f>
      </c>
      <c r="E78" s="7" t="n">
        <v>0</v>
      </c>
      <c r="F78" s="9" t="n">
        <v>0</v>
      </c>
      <c r="G78" s="8" t="n">
        <v>17992.0097807835</v>
      </c>
      <c r="H78" s="10" t="n">
        <v>0.564083595339375</v>
      </c>
      <c r="I78" s="11" t="n">
        <v>2512392.44774941</v>
      </c>
      <c r="J78" s="12" t="n">
        <v>78.7682633623081</v>
      </c>
      <c r="K78" s="13" t="str">
        <f>=HYPERLINK("https://ucloud.univie.ac.at/index.php/f/1514656058","Open Cytogram")</f>
      </c>
      <c r="L78" s="2" t="s">
        <v>314</v>
      </c>
      <c r="M78" s="3" t="s">
        <v>314</v>
      </c>
      <c r="N78" s="3" t="s">
        <v>314</v>
      </c>
      <c r="O78" s="3" t="s">
        <v>529</v>
      </c>
    </row>
    <row r="79">
      <c r="A79" s="16" t="s">
        <v>314</v>
      </c>
      <c r="B79" s="17" t="n">
        <v>46162</v>
      </c>
      <c r="C79" s="17" t="n">
        <v>46115</v>
      </c>
      <c r="D79" s="18" t="str">
        <f>IF(OR(C79="",B79=""),"",B79-C79)</f>
      </c>
      <c r="E79" s="19" t="n">
        <v>7047234.91202414</v>
      </c>
      <c r="F79" s="21" t="n">
        <v>46.7537599091201</v>
      </c>
      <c r="G79" s="20" t="n">
        <v>2779883.28348808</v>
      </c>
      <c r="H79" s="22" t="n">
        <v>18.4426937989282</v>
      </c>
      <c r="I79" s="25" t="n">
        <v>4798537.14614954</v>
      </c>
      <c r="J79" s="26" t="n">
        <v>31.8351319981231</v>
      </c>
      <c r="K79" s="23" t="str">
        <f>=HYPERLINK("https://ucloud.univie.ac.at/index.php/f/1515117418","Open Cytogram")</f>
      </c>
      <c r="L79" s="14" t="s">
        <v>314</v>
      </c>
      <c r="M79" s="24" t="s">
        <v>314</v>
      </c>
      <c r="N79" s="24" t="s">
        <v>314</v>
      </c>
      <c r="O79" s="24" t="s">
        <v>583</v>
      </c>
    </row>
    <row r="80">
      <c r="A80" s="4" t="s">
        <v>587</v>
      </c>
      <c r="B80" s="5" t="n">
        <v>46153</v>
      </c>
      <c r="C80" s="5" t="n">
        <v>46115</v>
      </c>
      <c r="D80" s="6" t="str">
        <f>IF(OR(C80="",B80=""),"",B80-C80)</f>
      </c>
      <c r="E80" s="7" t="n">
        <v>1952531.81841937</v>
      </c>
      <c r="F80" s="9" t="n">
        <v>32.3135082860785</v>
      </c>
      <c r="G80" s="8" t="n">
        <v>1970327.98653719</v>
      </c>
      <c r="H80" s="10" t="n">
        <v>32.6080267264495</v>
      </c>
      <c r="I80" s="11" t="n">
        <v>1850004.64090477</v>
      </c>
      <c r="J80" s="12" t="n">
        <v>30.6167304057321</v>
      </c>
      <c r="K80" s="13" t="str">
        <f>=HYPERLINK("https://ucloud.univie.ac.at/index.php/f/1514656058","Open Cytogram")</f>
      </c>
      <c r="L80" s="2" t="s">
        <v>314</v>
      </c>
      <c r="M80" s="3" t="s">
        <v>314</v>
      </c>
      <c r="N80" s="3" t="s">
        <v>314</v>
      </c>
      <c r="O80" s="3" t="s">
        <v>529</v>
      </c>
    </row>
    <row r="81">
      <c r="A81" s="16" t="s">
        <v>314</v>
      </c>
      <c r="B81" s="17" t="n">
        <v>46162</v>
      </c>
      <c r="C81" s="17" t="n">
        <v>46115</v>
      </c>
      <c r="D81" s="18" t="str">
        <f>IF(OR(C81="",B81=""),"",B81-C81)</f>
      </c>
      <c r="E81" s="19" t="n">
        <v>2006635.45299987</v>
      </c>
      <c r="F81" s="21" t="n">
        <v>24.8680392910826</v>
      </c>
      <c r="G81" s="20" t="n">
        <v>1971941.02501013</v>
      </c>
      <c r="H81" s="22" t="n">
        <v>24.4380745971266</v>
      </c>
      <c r="I81" s="25" t="n">
        <v>3928368.28140697</v>
      </c>
      <c r="J81" s="26" t="n">
        <v>48.6838885587444</v>
      </c>
      <c r="K81" s="23" t="str">
        <f>=HYPERLINK("https://ucloud.univie.ac.at/index.php/f/1515117418","Open Cytogram")</f>
      </c>
      <c r="L81" s="14" t="s">
        <v>314</v>
      </c>
      <c r="M81" s="24" t="s">
        <v>314</v>
      </c>
      <c r="N81" s="24" t="s">
        <v>314</v>
      </c>
      <c r="O81" s="24" t="s">
        <v>583</v>
      </c>
    </row>
    <row r="82">
      <c r="A82" s="4" t="s">
        <v>588</v>
      </c>
      <c r="B82" s="5" t="n">
        <v>46153</v>
      </c>
      <c r="C82" s="5" t="n">
        <v>46115</v>
      </c>
      <c r="D82" s="6" t="str">
        <f>IF(OR(C82="",B82=""),"",B82-C82)</f>
      </c>
      <c r="E82" s="7" t="n">
        <v>3352054.35293872</v>
      </c>
      <c r="F82" s="9" t="n">
        <v>30.5428495365328</v>
      </c>
      <c r="G82" s="8" t="n">
        <v>5033659.43284799</v>
      </c>
      <c r="H82" s="10" t="n">
        <v>45.8650983808901</v>
      </c>
      <c r="I82" s="11" t="n">
        <v>2174585.49821785</v>
      </c>
      <c r="J82" s="12" t="n">
        <v>19.8141290931533</v>
      </c>
      <c r="K82" s="13" t="str">
        <f>=HYPERLINK("https://ucloud.univie.ac.at/index.php/f/1514656058","Open Cytogram")</f>
      </c>
      <c r="L82" s="2" t="s">
        <v>314</v>
      </c>
      <c r="M82" s="3" t="s">
        <v>314</v>
      </c>
      <c r="N82" s="3" t="s">
        <v>314</v>
      </c>
      <c r="O82" s="3" t="s">
        <v>529</v>
      </c>
    </row>
    <row r="83">
      <c r="A83" s="16" t="s">
        <v>314</v>
      </c>
      <c r="B83" s="17" t="n">
        <v>46162</v>
      </c>
      <c r="C83" s="17" t="n">
        <v>46115</v>
      </c>
      <c r="D83" s="18" t="str">
        <f>IF(OR(C83="",B83=""),"",B83-C83)</f>
      </c>
      <c r="E83" s="19" t="n">
        <v>2434815.46672686</v>
      </c>
      <c r="F83" s="21" t="n">
        <v>28.8232937090958</v>
      </c>
      <c r="G83" s="20" t="n">
        <v>3948677.21486437</v>
      </c>
      <c r="H83" s="22" t="n">
        <v>46.7443568852678</v>
      </c>
      <c r="I83" s="25" t="n">
        <v>1891269.42822099</v>
      </c>
      <c r="J83" s="26" t="n">
        <v>22.3888072659276</v>
      </c>
      <c r="K83" s="23" t="str">
        <f>=HYPERLINK("https://ucloud.univie.ac.at/index.php/f/1515117418","Open Cytogram")</f>
      </c>
      <c r="L83" s="14" t="s">
        <v>314</v>
      </c>
      <c r="M83" s="24" t="s">
        <v>314</v>
      </c>
      <c r="N83" s="24" t="s">
        <v>314</v>
      </c>
      <c r="O83" s="24" t="s">
        <v>583</v>
      </c>
    </row>
    <row r="84">
      <c r="A84" s="4" t="s">
        <v>589</v>
      </c>
      <c r="B84" s="5" t="n">
        <v>46153</v>
      </c>
      <c r="C84" s="5" t="n">
        <v>46115</v>
      </c>
      <c r="D84" s="6" t="str">
        <f>IF(OR(C84="",B84=""),"",B84-C84)</f>
      </c>
      <c r="E84" s="7" t="n">
        <v>2715376.51743998</v>
      </c>
      <c r="F84" s="9" t="n">
        <v>31.7002077583801</v>
      </c>
      <c r="G84" s="8" t="n">
        <v>2502884.95782421</v>
      </c>
      <c r="H84" s="10" t="n">
        <v>29.2195106825018</v>
      </c>
      <c r="I84" s="11" t="n">
        <v>3099455.01144547</v>
      </c>
      <c r="J84" s="12" t="n">
        <v>36.1840677230302</v>
      </c>
      <c r="K84" s="13" t="str">
        <f>=HYPERLINK("https://ucloud.univie.ac.at/index.php/f/1514656058","Open Cytogram")</f>
      </c>
      <c r="L84" s="2" t="s">
        <v>314</v>
      </c>
      <c r="M84" s="3" t="s">
        <v>314</v>
      </c>
      <c r="N84" s="3" t="s">
        <v>314</v>
      </c>
      <c r="O84" s="3" t="s">
        <v>529</v>
      </c>
    </row>
    <row r="85">
      <c r="A85" s="16" t="s">
        <v>314</v>
      </c>
      <c r="B85" s="17" t="n">
        <v>46162</v>
      </c>
      <c r="C85" s="17" t="n">
        <v>46115</v>
      </c>
      <c r="D85" s="18" t="str">
        <f>IF(OR(C85="",B85=""),"",B85-C85)</f>
      </c>
      <c r="E85" s="19" t="n">
        <v>1951067.95451224</v>
      </c>
      <c r="F85" s="21" t="n">
        <v>30.6536671836916</v>
      </c>
      <c r="G85" s="20" t="n">
        <v>1452934.9477653</v>
      </c>
      <c r="H85" s="22" t="n">
        <v>22.8273875470862</v>
      </c>
      <c r="I85" s="25" t="n">
        <v>2681061.28489791</v>
      </c>
      <c r="J85" s="26" t="n">
        <v>42.1227564812763</v>
      </c>
      <c r="K85" s="23" t="str">
        <f>=HYPERLINK("https://ucloud.univie.ac.at/index.php/f/1515117418","Open Cytogram")</f>
      </c>
      <c r="L85" s="14" t="s">
        <v>314</v>
      </c>
      <c r="M85" s="24" t="s">
        <v>314</v>
      </c>
      <c r="N85" s="24" t="s">
        <v>314</v>
      </c>
      <c r="O85" s="24" t="s">
        <v>583</v>
      </c>
    </row>
    <row r="86">
      <c r="A86" s="16" t="s">
        <v>590</v>
      </c>
      <c r="B86" s="17" t="n">
        <v>46153</v>
      </c>
      <c r="C86" s="17" t="n">
        <v>46142</v>
      </c>
      <c r="D86" s="18" t="str">
        <f>IF(OR(C86="",B86=""),"",B86-C86)</f>
      </c>
      <c r="E86" s="19" t="n">
        <v>3356845.52582091</v>
      </c>
      <c r="F86" s="21" t="n">
        <v>30.4412176487059</v>
      </c>
      <c r="G86" s="20" t="n">
        <v>2988518.84854621</v>
      </c>
      <c r="H86" s="22" t="n">
        <v>27.1010840433617</v>
      </c>
      <c r="I86" s="25" t="n">
        <v>4032625.72891653</v>
      </c>
      <c r="J86" s="26" t="n">
        <v>36.5694627785111</v>
      </c>
      <c r="K86" s="23" t="str">
        <f>=HYPERLINK("https://ucloud.univie.ac.at/index.php/f/1514656058","Open Cytogram")</f>
      </c>
      <c r="L86" s="14" t="s">
        <v>314</v>
      </c>
      <c r="M86" s="15" t="s">
        <v>314</v>
      </c>
      <c r="N86" s="15" t="s">
        <v>314</v>
      </c>
      <c r="O86" s="15" t="s">
        <v>529</v>
      </c>
    </row>
    <row r="87">
      <c r="A87" s="16" t="s">
        <v>591</v>
      </c>
      <c r="B87" s="17" t="n">
        <v>46153</v>
      </c>
      <c r="C87" s="17" t="n">
        <v>46142</v>
      </c>
      <c r="D87" s="18" t="str">
        <f>IF(OR(C87="",B87=""),"",B87-C87)</f>
      </c>
      <c r="E87" s="19" t="n">
        <v>11433793.3517237</v>
      </c>
      <c r="F87" s="21" t="n">
        <v>53.536703035701</v>
      </c>
      <c r="G87" s="20" t="n">
        <v>5308716.75238081</v>
      </c>
      <c r="H87" s="22" t="n">
        <v>24.8571216507088</v>
      </c>
      <c r="I87" s="25" t="n">
        <v>2887641.7887689</v>
      </c>
      <c r="J87" s="26" t="n">
        <v>13.5208688982904</v>
      </c>
      <c r="K87" s="23" t="str">
        <f>=HYPERLINK("https://ucloud.univie.ac.at/index.php/f/1514656058","Open Cytogram")</f>
      </c>
      <c r="L87" s="14" t="s">
        <v>314</v>
      </c>
      <c r="M87" s="24" t="s">
        <v>314</v>
      </c>
      <c r="N87" s="24" t="s">
        <v>314</v>
      </c>
      <c r="O87" s="24" t="s">
        <v>529</v>
      </c>
    </row>
    <row r="88">
      <c r="A88" s="16" t="s">
        <v>592</v>
      </c>
      <c r="B88" s="17" t="n">
        <v>46153</v>
      </c>
      <c r="C88" s="17" t="n">
        <v>46142</v>
      </c>
      <c r="D88" s="18" t="str">
        <f>IF(OR(C88="",B88=""),"",B88-C88)</f>
      </c>
      <c r="E88" s="19" t="n">
        <v>3111145.47404803</v>
      </c>
      <c r="F88" s="21" t="n">
        <v>35.2039067854695</v>
      </c>
      <c r="G88" s="20" t="n">
        <v>2231711.19122817</v>
      </c>
      <c r="H88" s="22" t="n">
        <v>25.2527416038382</v>
      </c>
      <c r="I88" s="25" t="n">
        <v>2903306.72188785</v>
      </c>
      <c r="J88" s="26" t="n">
        <v>32.8521247429746</v>
      </c>
      <c r="K88" s="23" t="str">
        <f>=HYPERLINK("https://ucloud.univie.ac.at/index.php/f/1514656058","Open Cytogram")</f>
      </c>
      <c r="L88" s="14" t="s">
        <v>314</v>
      </c>
      <c r="M88" s="15" t="s">
        <v>314</v>
      </c>
      <c r="N88" s="15" t="s">
        <v>314</v>
      </c>
      <c r="O88" s="15" t="s">
        <v>529</v>
      </c>
    </row>
    <row r="89">
      <c r="A89" s="16" t="s">
        <v>593</v>
      </c>
      <c r="B89" s="17" t="n">
        <v>46153</v>
      </c>
      <c r="C89" s="17" t="n">
        <v>46142</v>
      </c>
      <c r="D89" s="18" t="str">
        <f>IF(OR(C89="",B89=""),"",B89-C89)</f>
      </c>
      <c r="E89" s="19" t="n">
        <v>3131757.16048184</v>
      </c>
      <c r="F89" s="21" t="n">
        <v>31.3084358987903</v>
      </c>
      <c r="G89" s="20" t="n">
        <v>3966610.59621009</v>
      </c>
      <c r="H89" s="22" t="n">
        <v>39.6545348898632</v>
      </c>
      <c r="I89" s="25" t="n">
        <v>1810258.1460791</v>
      </c>
      <c r="J89" s="26" t="n">
        <v>18.0973007236807</v>
      </c>
      <c r="K89" s="23" t="str">
        <f>=HYPERLINK("https://ucloud.univie.ac.at/index.php/f/1514656058","Open Cytogram")</f>
      </c>
      <c r="L89" s="14" t="s">
        <v>314</v>
      </c>
      <c r="M89" s="24" t="s">
        <v>314</v>
      </c>
      <c r="N89" s="24" t="s">
        <v>314</v>
      </c>
      <c r="O89" s="24" t="s">
        <v>529</v>
      </c>
    </row>
    <row r="90">
      <c r="A90" s="16" t="s">
        <v>594</v>
      </c>
      <c r="B90" s="17" t="n">
        <v>46153</v>
      </c>
      <c r="C90" s="17" t="n">
        <v>46142</v>
      </c>
      <c r="D90" s="18" t="str">
        <f>IF(OR(C90="",B90=""),"",B90-C90)</f>
      </c>
      <c r="E90" s="19" t="n">
        <v>5190980.04571098</v>
      </c>
      <c r="F90" s="21" t="n">
        <v>42.7026634734016</v>
      </c>
      <c r="G90" s="20" t="n">
        <v>4104526.6251989</v>
      </c>
      <c r="H90" s="22" t="n">
        <v>33.7651498657377</v>
      </c>
      <c r="I90" s="25" t="n">
        <v>1711505.99739621</v>
      </c>
      <c r="J90" s="26" t="n">
        <v>14.0793961825967</v>
      </c>
      <c r="K90" s="23" t="str">
        <f>=HYPERLINK("https://ucloud.univie.ac.at/index.php/f/1514656058","Open Cytogram")</f>
      </c>
      <c r="L90" s="14" t="s">
        <v>314</v>
      </c>
      <c r="M90" s="15" t="s">
        <v>314</v>
      </c>
      <c r="N90" s="15" t="s">
        <v>314</v>
      </c>
      <c r="O90" s="15" t="s">
        <v>529</v>
      </c>
    </row>
    <row r="91">
      <c r="A91" s="4" t="s">
        <v>595</v>
      </c>
      <c r="B91" s="5" t="n">
        <v>46153</v>
      </c>
      <c r="C91" s="5" t="n">
        <v>46146</v>
      </c>
      <c r="D91" s="6" t="str">
        <f>IF(OR(C91="",B91=""),"",B91-C91)</f>
      </c>
      <c r="E91" s="7" t="n">
        <v>3061737.75961368</v>
      </c>
      <c r="F91" s="9" t="n">
        <v>36.0353882706015</v>
      </c>
      <c r="G91" s="8" t="n">
        <v>3223762.5738207</v>
      </c>
      <c r="H91" s="10" t="n">
        <v>37.9423533825184</v>
      </c>
      <c r="I91" s="11" t="n">
        <v>1668589.97188281</v>
      </c>
      <c r="J91" s="12" t="n">
        <v>19.6386144804302</v>
      </c>
      <c r="K91" s="13" t="str">
        <f>=HYPERLINK("https://ucloud.univie.ac.at/index.php/f/1514656058","Open Cytogram")</f>
      </c>
      <c r="L91" s="2" t="s">
        <v>314</v>
      </c>
      <c r="M91" t="s">
        <v>314</v>
      </c>
      <c r="N91" t="s">
        <v>314</v>
      </c>
      <c r="O91" t="s">
        <v>529</v>
      </c>
    </row>
    <row r="92">
      <c r="A92" s="16" t="s">
        <v>314</v>
      </c>
      <c r="B92" s="17" t="n">
        <v>46162</v>
      </c>
      <c r="C92" s="17" t="n">
        <v>46146</v>
      </c>
      <c r="D92" s="18" t="str">
        <f>IF(OR(C92="",B92=""),"",B92-C92)</f>
      </c>
      <c r="E92" s="19" t="n">
        <v>5102872.28033307</v>
      </c>
      <c r="F92" s="21" t="n">
        <v>36.8273526234343</v>
      </c>
      <c r="G92" s="20" t="n">
        <v>4027114.14242729</v>
      </c>
      <c r="H92" s="22" t="n">
        <v>29.0636222955415</v>
      </c>
      <c r="I92" s="25" t="n">
        <v>4157791.04297018</v>
      </c>
      <c r="J92" s="26" t="n">
        <v>30.0067155245409</v>
      </c>
      <c r="K92" s="23" t="str">
        <f>=HYPERLINK("https://ucloud.univie.ac.at/index.php/f/1515117418","Open Cytogram")</f>
      </c>
      <c r="L92" s="14" t="s">
        <v>314</v>
      </c>
      <c r="M92" s="15" t="s">
        <v>314</v>
      </c>
      <c r="N92" s="15" t="s">
        <v>314</v>
      </c>
      <c r="O92" s="15" t="s">
        <v>583</v>
      </c>
    </row>
    <row r="93">
      <c r="A93" s="4" t="s">
        <v>596</v>
      </c>
      <c r="B93" s="5" t="n">
        <v>46153</v>
      </c>
      <c r="C93" s="5" t="n">
        <v>46146</v>
      </c>
      <c r="D93" s="6" t="str">
        <f>IF(OR(C93="",B93=""),"",B93-C93)</f>
      </c>
      <c r="E93" s="7" t="n">
        <v>6041158.81483785</v>
      </c>
      <c r="F93" s="9" t="n">
        <v>39.2745492698386</v>
      </c>
      <c r="G93" s="8" t="n">
        <v>5576758.31713196</v>
      </c>
      <c r="H93" s="10" t="n">
        <v>36.2554066207015</v>
      </c>
      <c r="I93" s="11" t="n">
        <v>2851616.67314721</v>
      </c>
      <c r="J93" s="12" t="n">
        <v>18.5388206072545</v>
      </c>
      <c r="K93" s="13" t="str">
        <f>=HYPERLINK("https://ucloud.univie.ac.at/index.php/f/1514656058","Open Cytogram")</f>
      </c>
      <c r="L93" s="2" t="s">
        <v>314</v>
      </c>
      <c r="M93" t="s">
        <v>314</v>
      </c>
      <c r="N93" t="s">
        <v>314</v>
      </c>
      <c r="O93" t="s">
        <v>529</v>
      </c>
    </row>
    <row r="94">
      <c r="A94" s="16" t="s">
        <v>314</v>
      </c>
      <c r="B94" s="17" t="n">
        <v>46162</v>
      </c>
      <c r="C94" s="17" t="n">
        <v>46146</v>
      </c>
      <c r="D94" s="18" t="str">
        <f>IF(OR(C94="",B94=""),"",B94-C94)</f>
      </c>
      <c r="E94" s="19" t="n">
        <v>5174886.17598829</v>
      </c>
      <c r="F94" s="21" t="n">
        <v>44.7723056459799</v>
      </c>
      <c r="G94" s="20" t="n">
        <v>2600996.26498544</v>
      </c>
      <c r="H94" s="22" t="n">
        <v>22.5034127900872</v>
      </c>
      <c r="I94" s="25" t="n">
        <v>3443720.67313051</v>
      </c>
      <c r="J94" s="26" t="n">
        <v>29.7945325352655</v>
      </c>
      <c r="K94" s="23" t="str">
        <f>=HYPERLINK("https://ucloud.univie.ac.at/index.php/f/1515117418","Open Cytogram")</f>
      </c>
      <c r="L94" s="14" t="s">
        <v>314</v>
      </c>
      <c r="M94" s="15" t="s">
        <v>314</v>
      </c>
      <c r="N94" s="15" t="s">
        <v>314</v>
      </c>
      <c r="O94" s="15" t="s">
        <v>583</v>
      </c>
    </row>
    <row r="95">
      <c r="A95" s="4" t="s">
        <v>597</v>
      </c>
      <c r="B95" s="5" t="n">
        <v>46168</v>
      </c>
      <c r="C95" s="5" t="n">
        <v>46168</v>
      </c>
      <c r="D95" s="6" t="str">
        <f>IF(OR(C95="",B95=""),"",B95-C95)</f>
      </c>
      <c r="E95" s="7" t="n">
        <v>4446297.65030001</v>
      </c>
      <c r="F95" s="9" t="n">
        <v>64.6165527714503</v>
      </c>
      <c r="G95" s="8" t="n">
        <v>543151.161389022</v>
      </c>
      <c r="H95" s="10" t="n">
        <v>7.89343369317619</v>
      </c>
      <c r="I95" s="11" t="n">
        <v>1758028.79045991</v>
      </c>
      <c r="J95" s="12" t="n">
        <v>25.5488428906276</v>
      </c>
      <c r="K95" s="13" t="str">
        <f>=HYPERLINK("https://ucloud.univie.ac.at/index.php/f/1515117663","Open Cytogram")</f>
      </c>
      <c r="L95" s="2" t="s">
        <v>314</v>
      </c>
      <c r="M95" t="s">
        <v>314</v>
      </c>
      <c r="N95" t="s">
        <v>314</v>
      </c>
      <c r="O95" t="s">
        <v>598</v>
      </c>
    </row>
    <row r="96">
      <c r="A96" s="4" t="s">
        <v>314</v>
      </c>
      <c r="B96" s="5" t="n">
        <v>46168</v>
      </c>
      <c r="C96" s="5" t="n">
        <v>46168</v>
      </c>
      <c r="D96" s="6" t="str">
        <f>IF(OR(C96="",B96=""),"",B96-C96)</f>
      </c>
      <c r="E96" s="7" t="n">
        <v>3020611.03847337</v>
      </c>
      <c r="F96" s="9" t="n">
        <v>53.9870077141697</v>
      </c>
      <c r="G96" s="8" t="n">
        <v>1507920.28828956</v>
      </c>
      <c r="H96" s="10" t="n">
        <v>26.9508729192042</v>
      </c>
      <c r="I96" s="11" t="n">
        <v>965904.951161071</v>
      </c>
      <c r="J96" s="12" t="n">
        <v>17.2634997969955</v>
      </c>
      <c r="K96" s="13" t="str">
        <f>=HYPERLINK("https://ucloud.univie.ac.at/index.php/f/1515117663","Open Cytogram")</f>
      </c>
      <c r="L96" s="2" t="s">
        <v>314</v>
      </c>
      <c r="M96" s="3" t="s">
        <v>314</v>
      </c>
      <c r="N96" s="3" t="s">
        <v>314</v>
      </c>
      <c r="O96" s="3" t="s">
        <v>598</v>
      </c>
    </row>
    <row r="97">
      <c r="A97" s="4" t="s">
        <v>314</v>
      </c>
      <c r="B97" s="5" t="n">
        <v>46169</v>
      </c>
      <c r="C97" s="5" t="n">
        <v>46168</v>
      </c>
      <c r="D97" s="6" t="str">
        <f>IF(OR(C97="",B97=""),"",B97-C97)</f>
      </c>
      <c r="E97" s="7" t="n">
        <v>546807.2858154</v>
      </c>
      <c r="F97" s="9" t="n">
        <v>24.4686171542886</v>
      </c>
      <c r="G97" s="8" t="n">
        <v>861982.870076908</v>
      </c>
      <c r="H97" s="10" t="n">
        <v>38.5721430357589</v>
      </c>
      <c r="I97" s="11" t="n">
        <v>749519.951047424</v>
      </c>
      <c r="J97" s="12" t="n">
        <v>33.5396349087272</v>
      </c>
      <c r="K97" s="13" t="str">
        <f>=HYPERLINK("https://ucloud.univie.ac.at/index.php/f/1515117663","Open Cytogram")</f>
      </c>
      <c r="L97" s="2" t="s">
        <v>314</v>
      </c>
      <c r="M97" t="s">
        <v>314</v>
      </c>
      <c r="N97" t="s">
        <v>314</v>
      </c>
      <c r="O97" t="s">
        <v>598</v>
      </c>
    </row>
    <row r="98">
      <c r="A98" s="4" t="s">
        <v>314</v>
      </c>
      <c r="B98" s="5" t="n">
        <v>46171</v>
      </c>
      <c r="C98" s="5" t="n">
        <v>46168</v>
      </c>
      <c r="D98" s="6" t="str">
        <f>IF(OR(C98="",B98=""),"",B98-C98)</f>
      </c>
      <c r="E98" s="7" t="n">
        <v>1262588.36179605</v>
      </c>
      <c r="F98" s="9" t="n">
        <v>49.7851594777723</v>
      </c>
      <c r="G98" s="8" t="n">
        <v>695838.117069509</v>
      </c>
      <c r="H98" s="10" t="n">
        <v>27.4376136175839</v>
      </c>
      <c r="I98" s="11" t="n">
        <v>434518.998868733</v>
      </c>
      <c r="J98" s="12" t="n">
        <v>17.1335316476615</v>
      </c>
      <c r="K98" s="13" t="str">
        <f>=HYPERLINK("https://ucloud.univie.ac.at/index.php/f/1515117663","Open Cytogram")</f>
      </c>
      <c r="L98" s="2" t="s">
        <v>314</v>
      </c>
      <c r="M98" s="3" t="s">
        <v>314</v>
      </c>
      <c r="N98" s="3" t="s">
        <v>314</v>
      </c>
      <c r="O98" s="3" t="s">
        <v>598</v>
      </c>
    </row>
    <row r="99">
      <c r="A99" s="4" t="s">
        <v>314</v>
      </c>
      <c r="B99" s="5" t="n">
        <v>46175</v>
      </c>
      <c r="C99" s="5" t="n">
        <v>46168</v>
      </c>
      <c r="D99" s="6" t="str">
        <f>IF(OR(C99="",B99=""),"",B99-C99)</f>
      </c>
      <c r="E99" s="7" t="n">
        <v>3599492.15681126</v>
      </c>
      <c r="F99" s="9" t="n">
        <v>17.5281732910453</v>
      </c>
      <c r="G99" s="8" t="n">
        <v>14664725.9863158</v>
      </c>
      <c r="H99" s="10" t="n">
        <v>71.4117011944126</v>
      </c>
      <c r="I99" s="11" t="n">
        <v>1890166.42998674</v>
      </c>
      <c r="J99" s="12" t="n">
        <v>9.20439975706863</v>
      </c>
      <c r="K99" s="13" t="str">
        <f>=HYPERLINK("https://ucloud.univie.ac.at/index.php/f/1515117663","Open Cytogram")</f>
      </c>
      <c r="L99" s="2" t="s">
        <v>314</v>
      </c>
      <c r="M99" t="s">
        <v>314</v>
      </c>
      <c r="N99" t="s">
        <v>314</v>
      </c>
      <c r="O99" t="s">
        <v>598</v>
      </c>
    </row>
    <row r="100">
      <c r="A100" s="4" t="s">
        <v>314</v>
      </c>
      <c r="B100" s="5" t="n">
        <v>46178</v>
      </c>
      <c r="C100" s="5" t="n">
        <v>46168</v>
      </c>
      <c r="D100" s="6" t="str">
        <f>IF(OR(C100="",B100=""),"",B100-C100)</f>
      </c>
      <c r="E100" s="7" t="n">
        <v>3081446.75575715</v>
      </c>
      <c r="F100" s="9" t="n">
        <v>36.0396755016915</v>
      </c>
      <c r="G100" s="8" t="n">
        <v>2860721.59855082</v>
      </c>
      <c r="H100" s="10" t="n">
        <v>33.458140375078</v>
      </c>
      <c r="I100" s="11" t="n">
        <v>2361141.37632426</v>
      </c>
      <c r="J100" s="12" t="n">
        <v>27.6152001839262</v>
      </c>
      <c r="K100" s="13" t="str">
        <f>=HYPERLINK("https://ucloud.univie.ac.at/index.php/f/1525440666","Open Cytogram")</f>
      </c>
      <c r="L100" s="2" t="s">
        <v>314</v>
      </c>
      <c r="M100" s="3" t="s">
        <v>314</v>
      </c>
      <c r="N100" s="3" t="s">
        <v>314</v>
      </c>
      <c r="O100" s="3" t="s">
        <v>537</v>
      </c>
    </row>
    <row r="101">
      <c r="A101" s="4" t="s">
        <v>314</v>
      </c>
      <c r="B101" s="5" t="n">
        <v>46182</v>
      </c>
      <c r="C101" s="5" t="n">
        <v>46168</v>
      </c>
      <c r="D101" s="6" t="str">
        <f>IF(OR(C101="",B101=""),"",B101-C101)</f>
      </c>
      <c r="E101" s="7" t="n">
        <v>7786420.06033361</v>
      </c>
      <c r="F101" s="9" t="n">
        <v>51.1501666129206</v>
      </c>
      <c r="G101" s="8" t="n">
        <v>3209638.11040126</v>
      </c>
      <c r="H101" s="10" t="n">
        <v>21.0845963667634</v>
      </c>
      <c r="I101" s="11" t="n">
        <v>2998553.06515947</v>
      </c>
      <c r="J101" s="12" t="n">
        <v>19.6979468988498</v>
      </c>
      <c r="K101" s="13" t="str">
        <f>=HYPERLINK("https://ucloud.univie.ac.at/index.php/f/1525440666","Open Cytogram")</f>
      </c>
      <c r="L101" s="2" t="s">
        <v>314</v>
      </c>
      <c r="M101" t="s">
        <v>314</v>
      </c>
      <c r="N101" t="s">
        <v>314</v>
      </c>
      <c r="O101" t="s">
        <v>537</v>
      </c>
    </row>
    <row r="102">
      <c r="A102" s="4" t="s">
        <v>314</v>
      </c>
      <c r="B102" s="5" t="n">
        <v>46188</v>
      </c>
      <c r="C102" s="5" t="n">
        <v>46168</v>
      </c>
      <c r="D102" s="6" t="str">
        <f>IF(OR(C102="",B102=""),"",B102-C102)</f>
      </c>
      <c r="E102" s="7" t="n">
        <v>2341632.16154348</v>
      </c>
      <c r="F102" s="9" t="n">
        <v>24.6319322602792</v>
      </c>
      <c r="G102" s="8" t="n">
        <v>4743817.52391968</v>
      </c>
      <c r="H102" s="10" t="n">
        <v>49.9008314898161</v>
      </c>
      <c r="I102" s="11" t="n">
        <v>1851042.45659329</v>
      </c>
      <c r="J102" s="12" t="n">
        <v>19.4713555572507</v>
      </c>
      <c r="K102" s="13" t="str">
        <f>=HYPERLINK("https://ucloud.univie.ac.at/index.php/f/1525440666","Open Cytogram")</f>
      </c>
      <c r="L102" s="2" t="s">
        <v>314</v>
      </c>
      <c r="M102" s="3" t="s">
        <v>314</v>
      </c>
      <c r="N102" s="3" t="s">
        <v>314</v>
      </c>
      <c r="O102" s="3" t="s">
        <v>537</v>
      </c>
    </row>
    <row r="103">
      <c r="A103" s="4" t="s">
        <v>314</v>
      </c>
      <c r="B103" s="5" t="n">
        <v>46196</v>
      </c>
      <c r="C103" s="5" t="n">
        <v>46168</v>
      </c>
      <c r="D103" s="6" t="str">
        <f>IF(OR(C103="",B103=""),"",B103-C103)</f>
      </c>
      <c r="E103" s="7" t="n">
        <v>2464589.08583948</v>
      </c>
      <c r="F103" s="9" t="n">
        <v>34.1100123609394</v>
      </c>
      <c r="G103" s="8" t="n">
        <v>2498527.98247361</v>
      </c>
      <c r="H103" s="10" t="n">
        <v>34.5797280593325</v>
      </c>
      <c r="I103" s="11" t="n">
        <v>1867532.44373631</v>
      </c>
      <c r="J103" s="12" t="n">
        <v>25.8467243510507</v>
      </c>
      <c r="K103" s="13" t="str">
        <f>=HYPERLINK("https://ucloud.univie.ac.at/index.php/f/1547934963","Open Cytogram")</f>
      </c>
      <c r="L103" s="2" t="s">
        <v>314</v>
      </c>
      <c r="M103" t="s">
        <v>314</v>
      </c>
      <c r="N103" t="s">
        <v>314</v>
      </c>
      <c r="O103" t="s">
        <v>553</v>
      </c>
    </row>
    <row r="104">
      <c r="A104" s="4" t="s">
        <v>314</v>
      </c>
      <c r="B104" s="5" t="n">
        <v>46204</v>
      </c>
      <c r="C104" s="5" t="n">
        <v>46168</v>
      </c>
      <c r="D104" s="6" t="str">
        <f>IF(OR(C104="",B104=""),"",B104-C104)</f>
      </c>
      <c r="E104" s="7" t="n">
        <v>7510858.52704758</v>
      </c>
      <c r="F104" s="9" t="n">
        <v>36.608254010965</v>
      </c>
      <c r="G104" s="8" t="n">
        <v>6607540.46274169</v>
      </c>
      <c r="H104" s="10" t="n">
        <v>32.2054421311089</v>
      </c>
      <c r="I104" s="11" t="n">
        <v>5627623.23484684</v>
      </c>
      <c r="J104" s="12" t="n">
        <v>27.4292825670176</v>
      </c>
      <c r="K104" s="13" t="str">
        <f>=HYPERLINK("https://ucloud.univie.ac.at/index.php/f/1547934963","Open Cytogram")</f>
      </c>
      <c r="L104" s="2" t="s">
        <v>314</v>
      </c>
      <c r="M104" s="3" t="s">
        <v>314</v>
      </c>
      <c r="N104" s="3" t="s">
        <v>314</v>
      </c>
      <c r="O104" s="3" t="s">
        <v>553</v>
      </c>
    </row>
    <row r="105">
      <c r="A105" s="16" t="s">
        <v>314</v>
      </c>
      <c r="B105" s="17" t="n">
        <v>46213</v>
      </c>
      <c r="C105" s="17" t="n">
        <v>46168</v>
      </c>
      <c r="D105" s="18" t="str">
        <f>IF(OR(C105="",B105=""),"",B105-C105)</f>
      </c>
      <c r="E105" s="19" t="n">
        <v>1835223.72552083</v>
      </c>
      <c r="F105" s="21" t="n">
        <v>20.8949943989152</v>
      </c>
      <c r="G105" s="20" t="n">
        <v>4705091.07507964</v>
      </c>
      <c r="H105" s="22" t="n">
        <v>53.5699546017334</v>
      </c>
      <c r="I105" s="25" t="n">
        <v>2027860.07594232</v>
      </c>
      <c r="J105" s="26" t="n">
        <v>23.0882613053476</v>
      </c>
      <c r="K105" s="23" t="str">
        <f>=HYPERLINK("https://ucloud.univie.ac.at/index.php/f/1552579888","Open Cytogram")</f>
      </c>
      <c r="L105" s="14" t="s">
        <v>314</v>
      </c>
      <c r="M105" s="24" t="s">
        <v>314</v>
      </c>
      <c r="N105" s="24" t="s">
        <v>314</v>
      </c>
      <c r="O105" s="24" t="s">
        <v>571</v>
      </c>
    </row>
    <row r="106">
      <c r="A106" s="4" t="s">
        <v>599</v>
      </c>
      <c r="B106" s="5" t="n">
        <v>46168</v>
      </c>
      <c r="C106" s="5" t="n">
        <v>46168</v>
      </c>
      <c r="D106" s="6" t="str">
        <f>IF(OR(C106="",B106=""),"",B106-C106)</f>
      </c>
      <c r="E106" s="7" t="n">
        <v>3883811.26517737</v>
      </c>
      <c r="F106" s="9" t="n">
        <v>63.6363636363636</v>
      </c>
      <c r="G106" s="8" t="n">
        <v>725484.148732866</v>
      </c>
      <c r="H106" s="10" t="n">
        <v>11.8870794559771</v>
      </c>
      <c r="I106" s="11" t="n">
        <v>1307072.87165383</v>
      </c>
      <c r="J106" s="12" t="n">
        <v>21.4164280601288</v>
      </c>
      <c r="K106" s="13" t="str">
        <f>=HYPERLINK("https://ucloud.univie.ac.at/index.php/f/1515117663","Open Cytogram")</f>
      </c>
      <c r="L106" s="2" t="s">
        <v>314</v>
      </c>
      <c r="M106" s="3" t="s">
        <v>314</v>
      </c>
      <c r="N106" s="3" t="s">
        <v>314</v>
      </c>
      <c r="O106" s="3" t="s">
        <v>598</v>
      </c>
    </row>
    <row r="107">
      <c r="A107" s="4" t="s">
        <v>314</v>
      </c>
      <c r="B107" s="5" t="n">
        <v>46168</v>
      </c>
      <c r="C107" s="5" t="n">
        <v>46168</v>
      </c>
      <c r="D107" s="6" t="str">
        <f>IF(OR(C107="",B107=""),"",B107-C107)</f>
      </c>
      <c r="E107" s="7" t="n">
        <v>288456.909545604</v>
      </c>
      <c r="F107" s="9" t="n">
        <v>39.2165242165242</v>
      </c>
      <c r="G107" s="8" t="n">
        <v>128983.093225804</v>
      </c>
      <c r="H107" s="10" t="n">
        <v>17.5356125356125</v>
      </c>
      <c r="I107" s="11" t="n">
        <v>301449.52007363</v>
      </c>
      <c r="J107" s="12" t="n">
        <v>40.982905982906</v>
      </c>
      <c r="K107" s="13" t="str">
        <f>=HYPERLINK("https://ucloud.univie.ac.at/index.php/f/1515117663","Open Cytogram")</f>
      </c>
      <c r="L107" s="2" t="s">
        <v>314</v>
      </c>
      <c r="M107" t="s">
        <v>314</v>
      </c>
      <c r="N107" t="s">
        <v>314</v>
      </c>
      <c r="O107" t="s">
        <v>598</v>
      </c>
    </row>
    <row r="108">
      <c r="A108" s="4" t="s">
        <v>314</v>
      </c>
      <c r="B108" s="5" t="n">
        <v>46169</v>
      </c>
      <c r="C108" s="5" t="n">
        <v>46168</v>
      </c>
      <c r="D108" s="6" t="str">
        <f>IF(OR(C108="",B108=""),"",B108-C108)</f>
      </c>
      <c r="E108" s="7" t="n">
        <v>2735850.51505931</v>
      </c>
      <c r="F108" s="9" t="n">
        <v>31.1601262616422</v>
      </c>
      <c r="G108" s="8" t="n">
        <v>2991096.19843028</v>
      </c>
      <c r="H108" s="10" t="n">
        <v>34.0672616032111</v>
      </c>
      <c r="I108" s="11" t="n">
        <v>2576407.5010501</v>
      </c>
      <c r="J108" s="12" t="n">
        <v>29.3441409142278</v>
      </c>
      <c r="K108" s="13" t="str">
        <f>=HYPERLINK("https://ucloud.univie.ac.at/index.php/f/1515117663","Open Cytogram")</f>
      </c>
      <c r="L108" s="2" t="s">
        <v>314</v>
      </c>
      <c r="M108" s="3" t="s">
        <v>314</v>
      </c>
      <c r="N108" s="3" t="s">
        <v>314</v>
      </c>
      <c r="O108" s="3" t="s">
        <v>598</v>
      </c>
    </row>
    <row r="109">
      <c r="A109" s="4" t="s">
        <v>314</v>
      </c>
      <c r="B109" s="5" t="n">
        <v>46171</v>
      </c>
      <c r="C109" s="5" t="n">
        <v>46168</v>
      </c>
      <c r="D109" s="6" t="str">
        <f>IF(OR(C109="",B109=""),"",B109-C109)</f>
      </c>
      <c r="E109" s="7" t="n">
        <v>2296868.99794812</v>
      </c>
      <c r="F109" s="9" t="n">
        <v>28.806213525575</v>
      </c>
      <c r="G109" s="8" t="n">
        <v>4276220.57744013</v>
      </c>
      <c r="H109" s="10" t="n">
        <v>53.6302780638517</v>
      </c>
      <c r="I109" s="11" t="n">
        <v>1170161.17577574</v>
      </c>
      <c r="J109" s="12" t="n">
        <v>14.6755921730175</v>
      </c>
      <c r="K109" s="13" t="str">
        <f>=HYPERLINK("https://ucloud.univie.ac.at/index.php/f/1515117663","Open Cytogram")</f>
      </c>
      <c r="L109" s="2" t="s">
        <v>314</v>
      </c>
      <c r="M109" t="s">
        <v>314</v>
      </c>
      <c r="N109" t="s">
        <v>314</v>
      </c>
      <c r="O109" t="s">
        <v>598</v>
      </c>
    </row>
    <row r="110">
      <c r="A110" s="4" t="s">
        <v>314</v>
      </c>
      <c r="B110" s="5" t="n">
        <v>46175</v>
      </c>
      <c r="C110" s="5" t="n">
        <v>46168</v>
      </c>
      <c r="D110" s="6" t="str">
        <f>IF(OR(C110="",B110=""),"",B110-C110)</f>
      </c>
      <c r="E110" s="7" t="n">
        <v>3800426.27143595</v>
      </c>
      <c r="F110" s="9" t="n">
        <v>17.4265289912629</v>
      </c>
      <c r="G110" s="8" t="n">
        <v>14344617.1554309</v>
      </c>
      <c r="H110" s="10" t="n">
        <v>65.7760127084988</v>
      </c>
      <c r="I110" s="11" t="n">
        <v>3120021.78674131</v>
      </c>
      <c r="J110" s="12" t="n">
        <v>14.306592533757</v>
      </c>
      <c r="K110" s="13" t="str">
        <f>=HYPERLINK("https://ucloud.univie.ac.at/index.php/f/1515117663","Open Cytogram")</f>
      </c>
      <c r="L110" s="2" t="s">
        <v>314</v>
      </c>
      <c r="M110" s="3" t="s">
        <v>314</v>
      </c>
      <c r="N110" s="3" t="s">
        <v>314</v>
      </c>
      <c r="O110" s="3" t="s">
        <v>598</v>
      </c>
    </row>
    <row r="111">
      <c r="A111" s="4" t="s">
        <v>314</v>
      </c>
      <c r="B111" s="5" t="n">
        <v>46178</v>
      </c>
      <c r="C111" s="5" t="n">
        <v>46168</v>
      </c>
      <c r="D111" s="6" t="str">
        <f>IF(OR(C111="",B111=""),"",B111-C111)</f>
      </c>
      <c r="E111" s="7" t="n">
        <v>5663166.78312369</v>
      </c>
      <c r="F111" s="9" t="n">
        <v>35.9199147020495</v>
      </c>
      <c r="G111" s="8" t="n">
        <v>6793807.82073941</v>
      </c>
      <c r="H111" s="10" t="n">
        <v>43.091260909055</v>
      </c>
      <c r="I111" s="11" t="n">
        <v>2910030.95254179</v>
      </c>
      <c r="J111" s="12" t="n">
        <v>18.4575287288236</v>
      </c>
      <c r="K111" s="13" t="str">
        <f>=HYPERLINK("https://ucloud.univie.ac.at/index.php/f/1525440666","Open Cytogram")</f>
      </c>
      <c r="L111" s="2" t="s">
        <v>314</v>
      </c>
      <c r="M111" t="s">
        <v>314</v>
      </c>
      <c r="N111" t="s">
        <v>314</v>
      </c>
      <c r="O111" t="s">
        <v>537</v>
      </c>
    </row>
    <row r="112">
      <c r="A112" s="4" t="s">
        <v>314</v>
      </c>
      <c r="B112" s="5" t="n">
        <v>46182</v>
      </c>
      <c r="C112" s="5" t="n">
        <v>46168</v>
      </c>
      <c r="D112" s="6" t="str">
        <f>IF(OR(C112="",B112=""),"",B112-C112)</f>
      </c>
      <c r="E112" s="7" t="n">
        <v>3349110.26214541</v>
      </c>
      <c r="F112" s="9" t="n">
        <v>45.6788431224727</v>
      </c>
      <c r="G112" s="8" t="n">
        <v>1581342.83495448</v>
      </c>
      <c r="H112" s="10" t="n">
        <v>21.5680899184429</v>
      </c>
      <c r="I112" s="11" t="n">
        <v>1857713.5242538</v>
      </c>
      <c r="J112" s="12" t="n">
        <v>25.3375368377767</v>
      </c>
      <c r="K112" s="13" t="str">
        <f>=HYPERLINK("https://ucloud.univie.ac.at/index.php/f/1525440666","Open Cytogram")</f>
      </c>
      <c r="L112" s="2" t="s">
        <v>314</v>
      </c>
      <c r="M112" s="3" t="s">
        <v>314</v>
      </c>
      <c r="N112" s="3" t="s">
        <v>314</v>
      </c>
      <c r="O112" s="3" t="s">
        <v>537</v>
      </c>
    </row>
    <row r="113">
      <c r="A113" s="4" t="s">
        <v>314</v>
      </c>
      <c r="B113" s="5" t="n">
        <v>46188</v>
      </c>
      <c r="C113" s="5" t="n">
        <v>46168</v>
      </c>
      <c r="D113" s="6" t="str">
        <f>IF(OR(C113="",B113=""),"",B113-C113)</f>
      </c>
      <c r="E113" s="7" t="n">
        <v>1049428.05477222</v>
      </c>
      <c r="F113" s="9" t="n">
        <v>23.8678880144497</v>
      </c>
      <c r="G113" s="8" t="n">
        <v>2096587.0759125</v>
      </c>
      <c r="H113" s="10" t="n">
        <v>47.6841697845439</v>
      </c>
      <c r="I113" s="11" t="n">
        <v>857694.712873294</v>
      </c>
      <c r="J113" s="12" t="n">
        <v>19.5071603664043</v>
      </c>
      <c r="K113" s="13" t="str">
        <f>=HYPERLINK("https://ucloud.univie.ac.at/index.php/f/1525440666","Open Cytogram")</f>
      </c>
      <c r="L113" s="2" t="s">
        <v>314</v>
      </c>
      <c r="M113" t="s">
        <v>314</v>
      </c>
      <c r="N113" t="s">
        <v>314</v>
      </c>
      <c r="O113" t="s">
        <v>537</v>
      </c>
    </row>
    <row r="114">
      <c r="A114" s="4" t="s">
        <v>314</v>
      </c>
      <c r="B114" s="5" t="n">
        <v>46196</v>
      </c>
      <c r="C114" s="5" t="n">
        <v>46168</v>
      </c>
      <c r="D114" s="6" t="str">
        <f>IF(OR(C114="",B114=""),"",B114-C114)</f>
      </c>
      <c r="E114" s="7" t="n">
        <v>3816769.55709911</v>
      </c>
      <c r="F114" s="9" t="n">
        <v>40.7828026769418</v>
      </c>
      <c r="G114" s="8" t="n">
        <v>2105201.78654119</v>
      </c>
      <c r="H114" s="10" t="n">
        <v>22.4944230379233</v>
      </c>
      <c r="I114" s="11" t="n">
        <v>3039370.84472328</v>
      </c>
      <c r="J114" s="12" t="n">
        <v>32.4761711620361</v>
      </c>
      <c r="K114" s="13" t="str">
        <f>=HYPERLINK("https://ucloud.univie.ac.at/index.php/f/1547934963","Open Cytogram")</f>
      </c>
      <c r="L114" s="2" t="s">
        <v>314</v>
      </c>
      <c r="M114" s="3" t="s">
        <v>314</v>
      </c>
      <c r="N114" s="3" t="s">
        <v>314</v>
      </c>
      <c r="O114" s="3" t="s">
        <v>553</v>
      </c>
    </row>
    <row r="115">
      <c r="A115" s="4" t="s">
        <v>314</v>
      </c>
      <c r="B115" s="5" t="n">
        <v>46204</v>
      </c>
      <c r="C115" s="5" t="n">
        <v>46168</v>
      </c>
      <c r="D115" s="6" t="str">
        <f>IF(OR(C115="",B115=""),"",B115-C115)</f>
      </c>
      <c r="E115" s="7" t="n">
        <v>5974915.26036147</v>
      </c>
      <c r="F115" s="9" t="n">
        <v>24.2261014862369</v>
      </c>
      <c r="G115" s="8" t="n">
        <v>14402913.0724858</v>
      </c>
      <c r="H115" s="10" t="n">
        <v>58.398557734588</v>
      </c>
      <c r="I115" s="11" t="n">
        <v>3585816.73625287</v>
      </c>
      <c r="J115" s="12" t="n">
        <v>14.5391786122593</v>
      </c>
      <c r="K115" s="13" t="str">
        <f>=HYPERLINK("https://ucloud.univie.ac.at/index.php/f/1547934963","Open Cytogram")</f>
      </c>
      <c r="L115" s="2" t="s">
        <v>314</v>
      </c>
      <c r="M115" t="s">
        <v>314</v>
      </c>
      <c r="N115" t="s">
        <v>314</v>
      </c>
      <c r="O115" t="s">
        <v>553</v>
      </c>
    </row>
    <row r="116">
      <c r="A116" s="16" t="s">
        <v>314</v>
      </c>
      <c r="B116" s="17" t="n">
        <v>46213</v>
      </c>
      <c r="C116" s="17" t="n">
        <v>46168</v>
      </c>
      <c r="D116" s="18" t="str">
        <f>IF(OR(C116="",B116=""),"",B116-C116)</f>
      </c>
      <c r="E116" s="19" t="n">
        <v>3036801.9520597</v>
      </c>
      <c r="F116" s="21" t="n">
        <v>20.8429051069093</v>
      </c>
      <c r="G116" s="20" t="n">
        <v>7815999.59810534</v>
      </c>
      <c r="H116" s="22" t="n">
        <v>53.6446368616363</v>
      </c>
      <c r="I116" s="25" t="n">
        <v>3173258.50437777</v>
      </c>
      <c r="J116" s="26" t="n">
        <v>21.7794663368086</v>
      </c>
      <c r="K116" s="23" t="str">
        <f>=HYPERLINK("https://ucloud.univie.ac.at/index.php/f/1552579888","Open Cytogram")</f>
      </c>
      <c r="L116" s="14" t="s">
        <v>314</v>
      </c>
      <c r="M116" s="15" t="s">
        <v>314</v>
      </c>
      <c r="N116" s="15" t="s">
        <v>314</v>
      </c>
      <c r="O116" s="15" t="s">
        <v>571</v>
      </c>
    </row>
    <row r="117">
      <c r="A117" s="4" t="s">
        <v>600</v>
      </c>
      <c r="B117" s="5" t="n">
        <v>46168</v>
      </c>
      <c r="C117" s="5" t="n">
        <v>46168</v>
      </c>
      <c r="D117" s="6" t="str">
        <f>IF(OR(C117="",B117=""),"",B117-C117)</f>
      </c>
      <c r="E117" s="7" t="n">
        <v>6622017.36724086</v>
      </c>
      <c r="F117" s="9" t="n">
        <v>64.4639110015655</v>
      </c>
      <c r="G117" s="8" t="n">
        <v>1095571.9546298</v>
      </c>
      <c r="H117" s="10" t="n">
        <v>10.6651567131866</v>
      </c>
      <c r="I117" s="11" t="n">
        <v>2450837.57370808</v>
      </c>
      <c r="J117" s="12" t="n">
        <v>23.858375245645</v>
      </c>
      <c r="K117" s="13" t="str">
        <f>=HYPERLINK("https://ucloud.univie.ac.at/index.php/f/1515117663","Open Cytogram")</f>
      </c>
      <c r="L117" s="2" t="s">
        <v>314</v>
      </c>
      <c r="M117" t="s">
        <v>314</v>
      </c>
      <c r="N117" t="s">
        <v>314</v>
      </c>
      <c r="O117" t="s">
        <v>598</v>
      </c>
    </row>
    <row r="118">
      <c r="A118" s="4" t="s">
        <v>314</v>
      </c>
      <c r="B118" s="5" t="n">
        <v>46168</v>
      </c>
      <c r="C118" s="5" t="n">
        <v>46168</v>
      </c>
      <c r="D118" s="6" t="str">
        <f>IF(OR(C118="",B118=""),"",B118-C118)</f>
      </c>
      <c r="E118" s="7" t="n">
        <v>5880573.13685898</v>
      </c>
      <c r="F118" s="9" t="n">
        <v>54.2039863756781</v>
      </c>
      <c r="G118" s="8" t="n">
        <v>3109480.92557016</v>
      </c>
      <c r="H118" s="10" t="n">
        <v>28.6615365207519</v>
      </c>
      <c r="I118" s="11" t="n">
        <v>1641305.01760124</v>
      </c>
      <c r="J118" s="12" t="n">
        <v>15.1286741516337</v>
      </c>
      <c r="K118" s="13" t="str">
        <f>=HYPERLINK("https://ucloud.univie.ac.at/index.php/f/1515117663","Open Cytogram")</f>
      </c>
      <c r="L118" s="2" t="s">
        <v>314</v>
      </c>
      <c r="M118" s="3" t="s">
        <v>314</v>
      </c>
      <c r="N118" s="3" t="s">
        <v>314</v>
      </c>
      <c r="O118" s="3" t="s">
        <v>598</v>
      </c>
    </row>
    <row r="119">
      <c r="A119" s="4" t="s">
        <v>314</v>
      </c>
      <c r="B119" s="5" t="n">
        <v>46169</v>
      </c>
      <c r="C119" s="5" t="n">
        <v>46168</v>
      </c>
      <c r="D119" s="6" t="str">
        <f>IF(OR(C119="",B119=""),"",B119-C119)</f>
      </c>
      <c r="E119" s="7" t="n">
        <v>2244908.46933995</v>
      </c>
      <c r="F119" s="9" t="n">
        <v>31.4852173913043</v>
      </c>
      <c r="G119" s="8" t="n">
        <v>3102001.23006011</v>
      </c>
      <c r="H119" s="10" t="n">
        <v>43.5060869565217</v>
      </c>
      <c r="I119" s="11" t="n">
        <v>1522480.45661489</v>
      </c>
      <c r="J119" s="12" t="n">
        <v>21.3530434782609</v>
      </c>
      <c r="K119" s="13" t="str">
        <f>=HYPERLINK("https://ucloud.univie.ac.at/index.php/f/1515117663","Open Cytogram")</f>
      </c>
      <c r="L119" s="2" t="s">
        <v>314</v>
      </c>
      <c r="M119" t="s">
        <v>314</v>
      </c>
      <c r="N119" t="s">
        <v>314</v>
      </c>
      <c r="O119" t="s">
        <v>598</v>
      </c>
    </row>
    <row r="120">
      <c r="A120" s="4" t="s">
        <v>314</v>
      </c>
      <c r="B120" s="5" t="n">
        <v>46171</v>
      </c>
      <c r="C120" s="5" t="n">
        <v>46168</v>
      </c>
      <c r="D120" s="6" t="str">
        <f>IF(OR(C120="",B120=""),"",B120-C120)</f>
      </c>
      <c r="E120" s="7" t="n">
        <v>3623165.71502526</v>
      </c>
      <c r="F120" s="9" t="n">
        <v>30.0582847626978</v>
      </c>
      <c r="G120" s="8" t="n">
        <v>7280090.4659246</v>
      </c>
      <c r="H120" s="10" t="n">
        <v>60.3966391643327</v>
      </c>
      <c r="I120" s="11" t="n">
        <v>878191.135913326</v>
      </c>
      <c r="J120" s="12" t="n">
        <v>7.28559533721898</v>
      </c>
      <c r="K120" s="13" t="str">
        <f>=HYPERLINK("https://ucloud.univie.ac.at/index.php/f/1515117663","Open Cytogram")</f>
      </c>
      <c r="L120" s="2" t="s">
        <v>314</v>
      </c>
      <c r="M120" s="3" t="s">
        <v>314</v>
      </c>
      <c r="N120" s="3" t="s">
        <v>314</v>
      </c>
      <c r="O120" s="3" t="s">
        <v>598</v>
      </c>
    </row>
    <row r="121">
      <c r="A121" s="4" t="s">
        <v>314</v>
      </c>
      <c r="B121" s="5" t="n">
        <v>46175</v>
      </c>
      <c r="C121" s="5" t="n">
        <v>46168</v>
      </c>
      <c r="D121" s="6" t="str">
        <f>IF(OR(C121="",B121=""),"",B121-C121)</f>
      </c>
      <c r="E121" s="7" t="n">
        <v>2084864.65829549</v>
      </c>
      <c r="F121" s="9" t="n">
        <v>19.2465140079314</v>
      </c>
      <c r="G121" s="8" t="n">
        <v>6624589.89629884</v>
      </c>
      <c r="H121" s="10" t="n">
        <v>61.1551746194192</v>
      </c>
      <c r="I121" s="11" t="n">
        <v>1914417.09899317</v>
      </c>
      <c r="J121" s="12" t="n">
        <v>17.673020340284</v>
      </c>
      <c r="K121" s="13" t="str">
        <f>=HYPERLINK("https://ucloud.univie.ac.at/index.php/f/1515117663","Open Cytogram")</f>
      </c>
      <c r="L121" s="2" t="s">
        <v>314</v>
      </c>
      <c r="M121" t="s">
        <v>314</v>
      </c>
      <c r="N121" t="s">
        <v>314</v>
      </c>
      <c r="O121" t="s">
        <v>598</v>
      </c>
    </row>
    <row r="122">
      <c r="A122" s="4" t="s">
        <v>314</v>
      </c>
      <c r="B122" s="5" t="n">
        <v>46178</v>
      </c>
      <c r="C122" s="5" t="n">
        <v>46168</v>
      </c>
      <c r="D122" s="6" t="str">
        <f>IF(OR(C122="",B122=""),"",B122-C122)</f>
      </c>
      <c r="E122" s="7" t="n">
        <v>4949547.79926965</v>
      </c>
      <c r="F122" s="9" t="n">
        <v>34.6440630275746</v>
      </c>
      <c r="G122" s="8" t="n">
        <v>4458110.46447923</v>
      </c>
      <c r="H122" s="10" t="n">
        <v>31.2042768711311</v>
      </c>
      <c r="I122" s="11" t="n">
        <v>3547594.66627855</v>
      </c>
      <c r="J122" s="12" t="n">
        <v>24.8311761395611</v>
      </c>
      <c r="K122" s="13" t="str">
        <f>=HYPERLINK("https://ucloud.univie.ac.at/index.php/f/1525440666","Open Cytogram")</f>
      </c>
      <c r="L122" s="2" t="s">
        <v>314</v>
      </c>
      <c r="M122" s="3" t="s">
        <v>314</v>
      </c>
      <c r="N122" s="3" t="s">
        <v>314</v>
      </c>
      <c r="O122" s="3" t="s">
        <v>537</v>
      </c>
    </row>
    <row r="123">
      <c r="A123" s="4" t="s">
        <v>314</v>
      </c>
      <c r="B123" s="5" t="n">
        <v>46182</v>
      </c>
      <c r="C123" s="5" t="n">
        <v>46168</v>
      </c>
      <c r="D123" s="6" t="str">
        <f>IF(OR(C123="",B123=""),"",B123-C123)</f>
      </c>
      <c r="E123" s="7" t="n">
        <v>9951541.73371094</v>
      </c>
      <c r="F123" s="9" t="n">
        <v>50.0219334320338</v>
      </c>
      <c r="G123" s="8" t="n">
        <v>3612445.10289765</v>
      </c>
      <c r="H123" s="10" t="n">
        <v>18.1581400449635</v>
      </c>
      <c r="I123" s="11" t="n">
        <v>5274398.93477582</v>
      </c>
      <c r="J123" s="12" t="n">
        <v>26.5120359708285</v>
      </c>
      <c r="K123" s="13" t="str">
        <f>=HYPERLINK("https://ucloud.univie.ac.at/index.php/f/1525440666","Open Cytogram")</f>
      </c>
      <c r="L123" s="2" t="s">
        <v>314</v>
      </c>
      <c r="M123" t="s">
        <v>314</v>
      </c>
      <c r="N123" t="s">
        <v>314</v>
      </c>
      <c r="O123" t="s">
        <v>537</v>
      </c>
    </row>
    <row r="124">
      <c r="A124" s="4" t="s">
        <v>314</v>
      </c>
      <c r="B124" s="5" t="n">
        <v>46188</v>
      </c>
      <c r="C124" s="5" t="n">
        <v>46168</v>
      </c>
      <c r="D124" s="6" t="str">
        <f>IF(OR(C124="",B124=""),"",B124-C124)</f>
      </c>
      <c r="E124" s="7" t="n">
        <v>4259068.82569723</v>
      </c>
      <c r="F124" s="9" t="n">
        <v>29.0654554862449</v>
      </c>
      <c r="G124" s="8" t="n">
        <v>7002126.50475373</v>
      </c>
      <c r="H124" s="10" t="n">
        <v>47.7850921321183</v>
      </c>
      <c r="I124" s="11" t="n">
        <v>3281812.40441174</v>
      </c>
      <c r="J124" s="12" t="n">
        <v>22.3962974674447</v>
      </c>
      <c r="K124" s="13" t="str">
        <f>=HYPERLINK("https://ucloud.univie.ac.at/index.php/f/1525440666","Open Cytogram")</f>
      </c>
      <c r="L124" s="2" t="s">
        <v>314</v>
      </c>
      <c r="M124" s="3" t="s">
        <v>314</v>
      </c>
      <c r="N124" s="3" t="s">
        <v>314</v>
      </c>
      <c r="O124" s="3" t="s">
        <v>537</v>
      </c>
    </row>
    <row r="125">
      <c r="A125" s="4" t="s">
        <v>314</v>
      </c>
      <c r="B125" s="5" t="n">
        <v>46196</v>
      </c>
      <c r="C125" s="5" t="n">
        <v>46168</v>
      </c>
      <c r="D125" s="6" t="str">
        <f>IF(OR(C125="",B125=""),"",B125-C125)</f>
      </c>
      <c r="E125" s="7" t="n">
        <v>1996639.27104339</v>
      </c>
      <c r="F125" s="9" t="n">
        <v>29.5406042906885</v>
      </c>
      <c r="G125" s="8" t="n">
        <v>3255736.69728882</v>
      </c>
      <c r="H125" s="10" t="n">
        <v>48.1691564641132</v>
      </c>
      <c r="I125" s="11" t="n">
        <v>1271623.87034133</v>
      </c>
      <c r="J125" s="12" t="n">
        <v>18.8138829607997</v>
      </c>
      <c r="K125" s="13" t="str">
        <f>=HYPERLINK("https://ucloud.univie.ac.at/index.php/f/1547934963","Open Cytogram")</f>
      </c>
      <c r="L125" s="2" t="s">
        <v>314</v>
      </c>
      <c r="M125" t="s">
        <v>314</v>
      </c>
      <c r="N125" t="s">
        <v>314</v>
      </c>
      <c r="O125" t="s">
        <v>553</v>
      </c>
    </row>
    <row r="126">
      <c r="A126" s="4" t="s">
        <v>314</v>
      </c>
      <c r="B126" s="5" t="n">
        <v>46204</v>
      </c>
      <c r="C126" s="5" t="n">
        <v>46168</v>
      </c>
      <c r="D126" s="6" t="str">
        <f>IF(OR(C126="",B126=""),"",B126-C126)</f>
      </c>
      <c r="E126" s="7" t="n">
        <v>5014139.84358027</v>
      </c>
      <c r="F126" s="9" t="n">
        <v>22.8440280441412</v>
      </c>
      <c r="G126" s="8" t="n">
        <v>11883221.5946122</v>
      </c>
      <c r="H126" s="10" t="n">
        <v>54.1390260005659</v>
      </c>
      <c r="I126" s="11" t="n">
        <v>4969284.47751466</v>
      </c>
      <c r="J126" s="12" t="n">
        <v>22.6396705127802</v>
      </c>
      <c r="K126" s="13" t="str">
        <f>=HYPERLINK("https://ucloud.univie.ac.at/index.php/f/1547934963","Open Cytogram")</f>
      </c>
      <c r="L126" s="2" t="s">
        <v>314</v>
      </c>
      <c r="M126" s="3" t="s">
        <v>314</v>
      </c>
      <c r="N126" s="3" t="s">
        <v>314</v>
      </c>
      <c r="O126" s="3" t="s">
        <v>553</v>
      </c>
    </row>
    <row r="127">
      <c r="A127" s="16" t="s">
        <v>314</v>
      </c>
      <c r="B127" s="17" t="n">
        <v>46213</v>
      </c>
      <c r="C127" s="17" t="n">
        <v>46168</v>
      </c>
      <c r="D127" s="18" t="str">
        <f>IF(OR(C127="",B127=""),"",B127-C127)</f>
      </c>
      <c r="E127" s="19" t="n">
        <v>4799694.91752267</v>
      </c>
      <c r="F127" s="21" t="n">
        <v>23.5994983277592</v>
      </c>
      <c r="G127" s="20" t="n">
        <v>9883375.32706528</v>
      </c>
      <c r="H127" s="22" t="n">
        <v>48.5953177257525</v>
      </c>
      <c r="I127" s="25" t="n">
        <v>5302196.19232442</v>
      </c>
      <c r="J127" s="26" t="n">
        <v>26.0702341137124</v>
      </c>
      <c r="K127" s="23" t="str">
        <f>=HYPERLINK("https://ucloud.univie.ac.at/index.php/f/1552579888","Open Cytogram")</f>
      </c>
      <c r="L127" s="14" t="s">
        <v>314</v>
      </c>
      <c r="M127" s="24" t="s">
        <v>314</v>
      </c>
      <c r="N127" s="24" t="s">
        <v>314</v>
      </c>
      <c r="O127" s="24" t="s">
        <v>571</v>
      </c>
    </row>
    <row r="128">
      <c r="A128" s="4" t="s">
        <v>601</v>
      </c>
      <c r="B128" s="5" t="n">
        <v>46168</v>
      </c>
      <c r="C128" s="5" t="n">
        <v>46168</v>
      </c>
      <c r="D128" s="6" t="str">
        <f>IF(OR(C128="",B128=""),"",B128-C128)</f>
      </c>
      <c r="E128" s="7" t="n">
        <v>185125.424479068</v>
      </c>
      <c r="F128" s="9" t="n">
        <v>6.938190749079</v>
      </c>
      <c r="G128" s="8" t="n">
        <v>819.139046367556</v>
      </c>
      <c r="H128" s="10" t="n">
        <v>0.0306999590667212</v>
      </c>
      <c r="I128" s="11" t="n">
        <v>2305330.32282709</v>
      </c>
      <c r="J128" s="12" t="n">
        <v>86.3999181334425</v>
      </c>
      <c r="K128" s="13" t="str">
        <f>=HYPERLINK("https://ucloud.univie.ac.at/index.php/f/1515117663","Open Cytogram")</f>
      </c>
      <c r="L128" s="2" t="s">
        <v>314</v>
      </c>
      <c r="M128" s="3" t="s">
        <v>314</v>
      </c>
      <c r="N128" s="3" t="s">
        <v>314</v>
      </c>
      <c r="O128" s="3" t="s">
        <v>598</v>
      </c>
    </row>
    <row r="129">
      <c r="A129" s="4" t="s">
        <v>314</v>
      </c>
      <c r="B129" s="5" t="n">
        <v>46168</v>
      </c>
      <c r="C129" s="5" t="n">
        <v>46168</v>
      </c>
      <c r="D129" s="6" t="str">
        <f>IF(OR(C129="",B129=""),"",B129-C129)</f>
      </c>
      <c r="E129" s="7" t="n">
        <v>2260290.27846958</v>
      </c>
      <c r="F129" s="9" t="n">
        <v>44.6388515029161</v>
      </c>
      <c r="G129" s="8" t="n">
        <v>1329368.71453306</v>
      </c>
      <c r="H129" s="10" t="n">
        <v>26.2539255271422</v>
      </c>
      <c r="I129" s="11" t="n">
        <v>1308469.54813917</v>
      </c>
      <c r="J129" s="12" t="n">
        <v>25.8411843876178</v>
      </c>
      <c r="K129" s="13" t="str">
        <f>=HYPERLINK("https://ucloud.univie.ac.at/index.php/f/1515117663","Open Cytogram")</f>
      </c>
      <c r="L129" s="2" t="s">
        <v>314</v>
      </c>
      <c r="M129" t="s">
        <v>314</v>
      </c>
      <c r="N129" t="s">
        <v>314</v>
      </c>
      <c r="O129" t="s">
        <v>598</v>
      </c>
    </row>
    <row r="130">
      <c r="A130" s="4" t="s">
        <v>314</v>
      </c>
      <c r="B130" s="5" t="n">
        <v>46169</v>
      </c>
      <c r="C130" s="5" t="n">
        <v>46168</v>
      </c>
      <c r="D130" s="6" t="str">
        <f>IF(OR(C130="",B130=""),"",B130-C130)</f>
      </c>
      <c r="E130" s="7" t="n">
        <v>1391039.7265276</v>
      </c>
      <c r="F130" s="9" t="n">
        <v>28.3526259920133</v>
      </c>
      <c r="G130" s="8" t="n">
        <v>1737249.64954997</v>
      </c>
      <c r="H130" s="10" t="n">
        <v>35.4091897083354</v>
      </c>
      <c r="I130" s="11" t="n">
        <v>1635817.08614299</v>
      </c>
      <c r="J130" s="12" t="n">
        <v>33.341758075115</v>
      </c>
      <c r="K130" s="13" t="str">
        <f>=HYPERLINK("https://ucloud.univie.ac.at/index.php/f/1515117663","Open Cytogram")</f>
      </c>
      <c r="L130" s="2" t="s">
        <v>314</v>
      </c>
      <c r="M130" s="3" t="s">
        <v>314</v>
      </c>
      <c r="N130" s="3" t="s">
        <v>314</v>
      </c>
      <c r="O130" s="3" t="s">
        <v>598</v>
      </c>
    </row>
    <row r="131">
      <c r="A131" s="4" t="s">
        <v>314</v>
      </c>
      <c r="B131" s="5" t="n">
        <v>46171</v>
      </c>
      <c r="C131" s="5" t="n">
        <v>46168</v>
      </c>
      <c r="D131" s="6" t="str">
        <f>IF(OR(C131="",B131=""),"",B131-C131)</f>
      </c>
      <c r="E131" s="7" t="n">
        <v>1453784.07544926</v>
      </c>
      <c r="F131" s="9" t="n">
        <v>36.2747524752475</v>
      </c>
      <c r="G131" s="8" t="n">
        <v>1653177.18303391</v>
      </c>
      <c r="H131" s="10" t="n">
        <v>41.25</v>
      </c>
      <c r="I131" s="11" t="n">
        <v>790793.726017722</v>
      </c>
      <c r="J131" s="12" t="n">
        <v>19.7318481848185</v>
      </c>
      <c r="K131" s="13" t="str">
        <f>=HYPERLINK("https://ucloud.univie.ac.at/index.php/f/1515117663","Open Cytogram")</f>
      </c>
      <c r="L131" s="2" t="s">
        <v>314</v>
      </c>
      <c r="M131" t="s">
        <v>314</v>
      </c>
      <c r="N131" t="s">
        <v>314</v>
      </c>
      <c r="O131" t="s">
        <v>598</v>
      </c>
    </row>
    <row r="132">
      <c r="A132" s="4" t="s">
        <v>314</v>
      </c>
      <c r="B132" s="5" t="n">
        <v>46175</v>
      </c>
      <c r="C132" s="5" t="n">
        <v>46168</v>
      </c>
      <c r="D132" s="6" t="str">
        <f>IF(OR(C132="",B132=""),"",B132-C132)</f>
      </c>
      <c r="E132" s="7" t="n">
        <v>3283540.58347037</v>
      </c>
      <c r="F132" s="9" t="n">
        <v>20.4443485763589</v>
      </c>
      <c r="G132" s="8" t="n">
        <v>9419652.71835401</v>
      </c>
      <c r="H132" s="10" t="n">
        <v>58.6496980155306</v>
      </c>
      <c r="I132" s="11" t="n">
        <v>2877515.09667703</v>
      </c>
      <c r="J132" s="12" t="n">
        <v>17.916307161346</v>
      </c>
      <c r="K132" s="13" t="str">
        <f>=HYPERLINK("https://ucloud.univie.ac.at/index.php/f/1515117663","Open Cytogram")</f>
      </c>
      <c r="L132" s="2" t="s">
        <v>314</v>
      </c>
      <c r="M132" s="3" t="s">
        <v>314</v>
      </c>
      <c r="N132" s="3" t="s">
        <v>314</v>
      </c>
      <c r="O132" s="3" t="s">
        <v>598</v>
      </c>
    </row>
    <row r="133">
      <c r="A133" s="4" t="s">
        <v>314</v>
      </c>
      <c r="B133" s="5" t="n">
        <v>46178</v>
      </c>
      <c r="C133" s="5" t="n">
        <v>46168</v>
      </c>
      <c r="D133" s="6" t="str">
        <f>IF(OR(C133="",B133=""),"",B133-C133)</f>
      </c>
      <c r="E133" s="7" t="n">
        <v>7016075.91018259</v>
      </c>
      <c r="F133" s="9" t="n">
        <v>44.743111252283</v>
      </c>
      <c r="G133" s="8" t="n">
        <v>4320219.25110986</v>
      </c>
      <c r="H133" s="10" t="n">
        <v>27.5510204081633</v>
      </c>
      <c r="I133" s="11" t="n">
        <v>3709448.95490886</v>
      </c>
      <c r="J133" s="12" t="n">
        <v>23.6559993647264</v>
      </c>
      <c r="K133" s="13" t="str">
        <f>=HYPERLINK("https://ucloud.univie.ac.at/index.php/f/1525440666","Open Cytogram")</f>
      </c>
      <c r="L133" s="2" t="s">
        <v>314</v>
      </c>
      <c r="M133" t="s">
        <v>314</v>
      </c>
      <c r="N133" t="s">
        <v>314</v>
      </c>
      <c r="O133" t="s">
        <v>537</v>
      </c>
    </row>
    <row r="134">
      <c r="A134" s="4" t="s">
        <v>314</v>
      </c>
      <c r="B134" s="5" t="n">
        <v>46182</v>
      </c>
      <c r="C134" s="5" t="n">
        <v>46168</v>
      </c>
      <c r="D134" s="6" t="str">
        <f>IF(OR(C134="",B134=""),"",B134-C134)</f>
      </c>
      <c r="E134" s="7" t="n">
        <v>9587412.63119192</v>
      </c>
      <c r="F134" s="9" t="n">
        <v>51.8292888155902</v>
      </c>
      <c r="G134" s="8" t="n">
        <v>3257441.57973869</v>
      </c>
      <c r="H134" s="10" t="n">
        <v>17.6096395274477</v>
      </c>
      <c r="I134" s="11" t="n">
        <v>4850674.18725997</v>
      </c>
      <c r="J134" s="12" t="n">
        <v>26.222611154118</v>
      </c>
      <c r="K134" s="13" t="str">
        <f>=HYPERLINK("https://ucloud.univie.ac.at/index.php/f/1525440666","Open Cytogram")</f>
      </c>
      <c r="L134" s="2" t="s">
        <v>314</v>
      </c>
      <c r="M134" s="3" t="s">
        <v>314</v>
      </c>
      <c r="N134" s="3" t="s">
        <v>314</v>
      </c>
      <c r="O134" s="3" t="s">
        <v>537</v>
      </c>
    </row>
    <row r="135">
      <c r="A135" s="4" t="s">
        <v>314</v>
      </c>
      <c r="B135" s="5" t="n">
        <v>46188</v>
      </c>
      <c r="C135" s="5" t="n">
        <v>46168</v>
      </c>
      <c r="D135" s="6" t="str">
        <f>IF(OR(C135="",B135=""),"",B135-C135)</f>
      </c>
      <c r="E135" s="7" t="n">
        <v>6783928.73482879</v>
      </c>
      <c r="F135" s="9" t="n">
        <v>30.0758198252036</v>
      </c>
      <c r="G135" s="8" t="n">
        <v>11931795.4264365</v>
      </c>
      <c r="H135" s="10" t="n">
        <v>52.8983342048256</v>
      </c>
      <c r="I135" s="11" t="n">
        <v>3723683.95007057</v>
      </c>
      <c r="J135" s="12" t="n">
        <v>16.5085530738776</v>
      </c>
      <c r="K135" s="13" t="str">
        <f>=HYPERLINK("https://ucloud.univie.ac.at/index.php/f/1525440666","Open Cytogram")</f>
      </c>
      <c r="L135" s="2" t="s">
        <v>314</v>
      </c>
      <c r="M135" t="s">
        <v>314</v>
      </c>
      <c r="N135" t="s">
        <v>314</v>
      </c>
      <c r="O135" t="s">
        <v>537</v>
      </c>
    </row>
    <row r="136">
      <c r="A136" s="4" t="s">
        <v>314</v>
      </c>
      <c r="B136" s="5" t="n">
        <v>46196</v>
      </c>
      <c r="C136" s="5" t="n">
        <v>46168</v>
      </c>
      <c r="D136" s="6" t="str">
        <f>IF(OR(C136="",B136=""),"",B136-C136)</f>
      </c>
      <c r="E136" s="7" t="n">
        <v>1082792.92028105</v>
      </c>
      <c r="F136" s="9" t="n">
        <v>34.1479524438573</v>
      </c>
      <c r="G136" s="8" t="n">
        <v>1145362.43380792</v>
      </c>
      <c r="H136" s="10" t="n">
        <v>36.1212021136063</v>
      </c>
      <c r="I136" s="11" t="n">
        <v>778584.657861661</v>
      </c>
      <c r="J136" s="12" t="n">
        <v>24.5541611624835</v>
      </c>
      <c r="K136" s="13" t="str">
        <f>=HYPERLINK("https://ucloud.univie.ac.at/index.php/f/1547934963","Open Cytogram")</f>
      </c>
      <c r="L136" s="2" t="s">
        <v>314</v>
      </c>
      <c r="M136" s="3" t="s">
        <v>314</v>
      </c>
      <c r="N136" s="3" t="s">
        <v>314</v>
      </c>
      <c r="O136" s="3" t="s">
        <v>553</v>
      </c>
    </row>
    <row r="137">
      <c r="A137" s="4" t="s">
        <v>314</v>
      </c>
      <c r="B137" s="5" t="n">
        <v>46204</v>
      </c>
      <c r="C137" s="5" t="n">
        <v>46168</v>
      </c>
      <c r="D137" s="6" t="str">
        <f>IF(OR(C137="",B137=""),"",B137-C137)</f>
      </c>
      <c r="E137" s="7" t="n">
        <v>634817.03471536</v>
      </c>
      <c r="F137" s="9" t="n">
        <v>30.102480605306</v>
      </c>
      <c r="G137" s="8" t="n">
        <v>637846.705577826</v>
      </c>
      <c r="H137" s="10" t="n">
        <v>30.2461450052677</v>
      </c>
      <c r="I137" s="11" t="n">
        <v>725303.204474342</v>
      </c>
      <c r="J137" s="12" t="n">
        <v>34.3932573508285</v>
      </c>
      <c r="K137" s="13" t="str">
        <f>=HYPERLINK("https://ucloud.univie.ac.at/index.php/f/1552579888","Open Cytogram")</f>
      </c>
      <c r="L137" s="2" t="s">
        <v>314</v>
      </c>
      <c r="M137" t="s">
        <v>314</v>
      </c>
      <c r="N137" t="s">
        <v>314</v>
      </c>
      <c r="O137" t="s">
        <v>571</v>
      </c>
    </row>
    <row r="138">
      <c r="A138" s="16" t="s">
        <v>314</v>
      </c>
      <c r="B138" s="17" t="n">
        <v>46213</v>
      </c>
      <c r="C138" s="17" t="n">
        <v>46168</v>
      </c>
      <c r="D138" s="18" t="str">
        <f>IF(OR(C138="",B138=""),"",B138-C138)</f>
      </c>
      <c r="E138" s="19" t="n">
        <v>2537478.10108242</v>
      </c>
      <c r="F138" s="21" t="n">
        <v>24.9011689691817</v>
      </c>
      <c r="G138" s="20" t="n">
        <v>4893893.40833547</v>
      </c>
      <c r="H138" s="22" t="n">
        <v>48.0255047821467</v>
      </c>
      <c r="I138" s="25" t="n">
        <v>2462540.62899514</v>
      </c>
      <c r="J138" s="26" t="n">
        <v>24.1657810839532</v>
      </c>
      <c r="K138" s="23" t="str">
        <f>=HYPERLINK("https://ucloud.univie.ac.at/index.php/f/1552579888","Open Cytogram")</f>
      </c>
      <c r="L138" s="14" t="s">
        <v>314</v>
      </c>
      <c r="M138" s="15" t="s">
        <v>314</v>
      </c>
      <c r="N138" s="15" t="s">
        <v>314</v>
      </c>
      <c r="O138" s="15" t="s">
        <v>571</v>
      </c>
    </row>
    <row r="139">
      <c r="A139" s="4" t="s">
        <v>602</v>
      </c>
      <c r="B139" s="5" t="n">
        <v>46168</v>
      </c>
      <c r="C139" s="5" t="n">
        <v>46168</v>
      </c>
      <c r="D139" s="6" t="str">
        <f>IF(OR(C139="",B139=""),"",B139-C139)</f>
      </c>
      <c r="E139" s="7" t="n">
        <v>4007228.21483009</v>
      </c>
      <c r="F139" s="9" t="n">
        <v>41.0345309660282</v>
      </c>
      <c r="G139" s="8" t="n">
        <v>2349017.73863336</v>
      </c>
      <c r="H139" s="10" t="n">
        <v>24.0542429749755</v>
      </c>
      <c r="I139" s="11" t="n">
        <v>2977024.34084849</v>
      </c>
      <c r="J139" s="12" t="n">
        <v>30.4851111421781</v>
      </c>
      <c r="K139" s="13" t="str">
        <f>=HYPERLINK("https://ucloud.univie.ac.at/index.php/f/1515117663","Open Cytogram")</f>
      </c>
      <c r="L139" s="2" t="s">
        <v>314</v>
      </c>
      <c r="M139" t="s">
        <v>314</v>
      </c>
      <c r="N139" t="s">
        <v>314</v>
      </c>
      <c r="O139" t="s">
        <v>598</v>
      </c>
    </row>
    <row r="140">
      <c r="A140" s="4" t="s">
        <v>314</v>
      </c>
      <c r="B140" s="5" t="n">
        <v>46168</v>
      </c>
      <c r="C140" s="5" t="n">
        <v>46168</v>
      </c>
      <c r="D140" s="6" t="str">
        <f>IF(OR(C140="",B140=""),"",B140-C140)</f>
      </c>
      <c r="E140" s="7" t="n">
        <v>3033332.27019139</v>
      </c>
      <c r="F140" s="9" t="n">
        <v>42.124357235244</v>
      </c>
      <c r="G140" s="8" t="n">
        <v>2136939.76377521</v>
      </c>
      <c r="H140" s="10" t="n">
        <v>29.6760150162466</v>
      </c>
      <c r="I140" s="11" t="n">
        <v>1684654.54322919</v>
      </c>
      <c r="J140" s="12" t="n">
        <v>23.3950597810657</v>
      </c>
      <c r="K140" s="13" t="str">
        <f>=HYPERLINK("https://ucloud.univie.ac.at/index.php/f/1515117663","Open Cytogram")</f>
      </c>
      <c r="L140" s="2" t="s">
        <v>314</v>
      </c>
      <c r="M140" s="3" t="s">
        <v>314</v>
      </c>
      <c r="N140" s="3" t="s">
        <v>314</v>
      </c>
      <c r="O140" s="3" t="s">
        <v>598</v>
      </c>
    </row>
    <row r="141">
      <c r="A141" s="4" t="s">
        <v>314</v>
      </c>
      <c r="B141" s="5" t="n">
        <v>46169</v>
      </c>
      <c r="C141" s="5" t="n">
        <v>46168</v>
      </c>
      <c r="D141" s="6" t="str">
        <f>IF(OR(C141="",B141=""),"",B141-C141)</f>
      </c>
      <c r="E141" s="7" t="n">
        <v>461586.937234052</v>
      </c>
      <c r="F141" s="9" t="n">
        <v>31.8672839506173</v>
      </c>
      <c r="G141" s="8" t="n">
        <v>136212.852240678</v>
      </c>
      <c r="H141" s="10" t="n">
        <v>9.40393518518519</v>
      </c>
      <c r="I141" s="11" t="n">
        <v>800652.160196233</v>
      </c>
      <c r="J141" s="12" t="n">
        <v>55.2758487654321</v>
      </c>
      <c r="K141" s="13" t="str">
        <f>=HYPERLINK("https://ucloud.univie.ac.at/index.php/f/1515117663","Open Cytogram")</f>
      </c>
      <c r="L141" s="2" t="s">
        <v>314</v>
      </c>
      <c r="M141" t="s">
        <v>314</v>
      </c>
      <c r="N141" t="s">
        <v>314</v>
      </c>
      <c r="O141" t="s">
        <v>598</v>
      </c>
    </row>
    <row r="142">
      <c r="A142" s="4" t="s">
        <v>314</v>
      </c>
      <c r="B142" s="5" t="n">
        <v>46171</v>
      </c>
      <c r="C142" s="5" t="n">
        <v>46168</v>
      </c>
      <c r="D142" s="6" t="str">
        <f>IF(OR(C142="",B142=""),"",B142-C142)</f>
      </c>
      <c r="E142" s="7" t="n">
        <v>1418429.83466626</v>
      </c>
      <c r="F142" s="9" t="n">
        <v>45.0223936854241</v>
      </c>
      <c r="G142" s="8" t="n">
        <v>695314.221130108</v>
      </c>
      <c r="H142" s="10" t="n">
        <v>22.069974723959</v>
      </c>
      <c r="I142" s="11" t="n">
        <v>906828.332199223</v>
      </c>
      <c r="J142" s="12" t="n">
        <v>28.7836459580506</v>
      </c>
      <c r="K142" s="13" t="str">
        <f>=HYPERLINK("https://ucloud.univie.ac.at/index.php/f/1515117663","Open Cytogram")</f>
      </c>
      <c r="L142" s="2" t="s">
        <v>314</v>
      </c>
      <c r="M142" s="3" t="s">
        <v>314</v>
      </c>
      <c r="N142" s="3" t="s">
        <v>314</v>
      </c>
      <c r="O142" s="3" t="s">
        <v>598</v>
      </c>
    </row>
    <row r="143">
      <c r="A143" s="4" t="s">
        <v>314</v>
      </c>
      <c r="B143" s="5" t="n">
        <v>46175</v>
      </c>
      <c r="C143" s="5" t="n">
        <v>46168</v>
      </c>
      <c r="D143" s="6" t="str">
        <f>IF(OR(C143="",B143=""),"",B143-C143)</f>
      </c>
      <c r="E143" s="7" t="n">
        <v>4415550.57849349</v>
      </c>
      <c r="F143" s="9" t="n">
        <v>47.4266876599095</v>
      </c>
      <c r="G143" s="8" t="n">
        <v>1994075.28459199</v>
      </c>
      <c r="H143" s="10" t="n">
        <v>21.4180279472545</v>
      </c>
      <c r="I143" s="11" t="n">
        <v>2664722.24453747</v>
      </c>
      <c r="J143" s="12" t="n">
        <v>28.6213343829955</v>
      </c>
      <c r="K143" s="13" t="str">
        <f>=HYPERLINK("https://ucloud.univie.ac.at/index.php/f/1515117663","Open Cytogram")</f>
      </c>
      <c r="L143" s="2" t="s">
        <v>314</v>
      </c>
      <c r="M143" t="s">
        <v>314</v>
      </c>
      <c r="N143" t="s">
        <v>314</v>
      </c>
      <c r="O143" t="s">
        <v>598</v>
      </c>
    </row>
    <row r="144">
      <c r="A144" s="4" t="s">
        <v>314</v>
      </c>
      <c r="B144" s="5" t="n">
        <v>46178</v>
      </c>
      <c r="C144" s="5" t="n">
        <v>46168</v>
      </c>
      <c r="D144" s="6" t="str">
        <f>IF(OR(C144="",B144=""),"",B144-C144)</f>
      </c>
      <c r="E144" s="7" t="n">
        <v>4585726.53252406</v>
      </c>
      <c r="F144" s="9" t="n">
        <v>40.306594001976</v>
      </c>
      <c r="G144" s="8" t="n">
        <v>792993.11509687</v>
      </c>
      <c r="H144" s="10" t="n">
        <v>6.97007362080505</v>
      </c>
      <c r="I144" s="11" t="n">
        <v>5827248.44660347</v>
      </c>
      <c r="J144" s="12" t="n">
        <v>51.2190457978774</v>
      </c>
      <c r="K144" s="13" t="str">
        <f>=HYPERLINK("https://ucloud.univie.ac.at/index.php/f/1525440666","Open Cytogram")</f>
      </c>
      <c r="L144" s="2" t="s">
        <v>314</v>
      </c>
      <c r="M144" s="3" t="s">
        <v>314</v>
      </c>
      <c r="N144" s="3" t="s">
        <v>314</v>
      </c>
      <c r="O144" s="3" t="s">
        <v>537</v>
      </c>
    </row>
    <row r="145">
      <c r="A145" s="4" t="s">
        <v>314</v>
      </c>
      <c r="B145" s="5" t="n">
        <v>46182</v>
      </c>
      <c r="C145" s="5" t="n">
        <v>46168</v>
      </c>
      <c r="D145" s="6" t="str">
        <f>IF(OR(C145="",B145=""),"",B145-C145)</f>
      </c>
      <c r="E145" s="7" t="n">
        <v>2153212.12547984</v>
      </c>
      <c r="F145" s="9" t="n">
        <v>31.9495607820912</v>
      </c>
      <c r="G145" s="8" t="n">
        <v>287413.237148307</v>
      </c>
      <c r="H145" s="10" t="n">
        <v>4.2646642108246</v>
      </c>
      <c r="I145" s="11" t="n">
        <v>4181974.00098738</v>
      </c>
      <c r="J145" s="12" t="n">
        <v>62.0525172381222</v>
      </c>
      <c r="K145" s="13" t="str">
        <f>=HYPERLINK("https://ucloud.univie.ac.at/index.php/f/1525440666","Open Cytogram")</f>
      </c>
      <c r="L145" s="2" t="s">
        <v>314</v>
      </c>
      <c r="M145" t="s">
        <v>314</v>
      </c>
      <c r="N145" t="s">
        <v>314</v>
      </c>
      <c r="O145" t="s">
        <v>537</v>
      </c>
    </row>
    <row r="146">
      <c r="A146" s="4" t="s">
        <v>314</v>
      </c>
      <c r="B146" s="5" t="n">
        <v>46188</v>
      </c>
      <c r="C146" s="5" t="n">
        <v>46168</v>
      </c>
      <c r="D146" s="6" t="str">
        <f>IF(OR(C146="",B146=""),"",B146-C146)</f>
      </c>
      <c r="E146" s="7" t="n">
        <v>2843895.0984719</v>
      </c>
      <c r="F146" s="9" t="n">
        <v>29.7843261442048</v>
      </c>
      <c r="G146" s="8" t="n">
        <v>3186372.00120897</v>
      </c>
      <c r="H146" s="10" t="n">
        <v>33.3711123704123</v>
      </c>
      <c r="I146" s="11" t="n">
        <v>3425405.6015394</v>
      </c>
      <c r="J146" s="12" t="n">
        <v>35.8745291509717</v>
      </c>
      <c r="K146" s="13" t="str">
        <f>=HYPERLINK("https://ucloud.univie.ac.at/index.php/f/1525440666","Open Cytogram")</f>
      </c>
      <c r="L146" s="2" t="s">
        <v>314</v>
      </c>
      <c r="M146" s="3" t="s">
        <v>314</v>
      </c>
      <c r="N146" s="3" t="s">
        <v>314</v>
      </c>
      <c r="O146" s="3" t="s">
        <v>537</v>
      </c>
    </row>
    <row r="147">
      <c r="A147" s="4" t="s">
        <v>314</v>
      </c>
      <c r="B147" s="5" t="n">
        <v>46196</v>
      </c>
      <c r="C147" s="5" t="n">
        <v>46168</v>
      </c>
      <c r="D147" s="6" t="str">
        <f>IF(OR(C147="",B147=""),"",B147-C147)</f>
      </c>
      <c r="E147" s="7" t="n">
        <v>2083818.09695353</v>
      </c>
      <c r="F147" s="9" t="n">
        <v>37.002520368091</v>
      </c>
      <c r="G147" s="8" t="n">
        <v>951631.169573426</v>
      </c>
      <c r="H147" s="10" t="n">
        <v>16.8981888517672</v>
      </c>
      <c r="I147" s="11" t="n">
        <v>2506985.33919881</v>
      </c>
      <c r="J147" s="12" t="n">
        <v>44.5167340718598</v>
      </c>
      <c r="K147" s="13" t="str">
        <f>=HYPERLINK("https://ucloud.univie.ac.at/index.php/f/1547934963","Open Cytogram")</f>
      </c>
      <c r="L147" s="2" t="s">
        <v>314</v>
      </c>
      <c r="M147" t="s">
        <v>314</v>
      </c>
      <c r="N147" t="s">
        <v>314</v>
      </c>
      <c r="O147" t="s">
        <v>553</v>
      </c>
    </row>
    <row r="148">
      <c r="A148" s="4" t="s">
        <v>314</v>
      </c>
      <c r="B148" s="5" t="n">
        <v>46204</v>
      </c>
      <c r="C148" s="5" t="n">
        <v>46168</v>
      </c>
      <c r="D148" s="6" t="str">
        <f>IF(OR(C148="",B148=""),"",B148-C148)</f>
      </c>
      <c r="E148" s="7" t="n">
        <v>426375.679377704</v>
      </c>
      <c r="F148" s="9" t="n">
        <v>17.373055715579</v>
      </c>
      <c r="G148" s="8" t="n">
        <v>99575.18234638</v>
      </c>
      <c r="H148" s="10" t="n">
        <v>4.05727923627685</v>
      </c>
      <c r="I148" s="11" t="n">
        <v>1774983.16929004</v>
      </c>
      <c r="J148" s="12" t="n">
        <v>72.3232655748498</v>
      </c>
      <c r="K148" s="13" t="str">
        <f>=HYPERLINK("https://ucloud.univie.ac.at/index.php/f/1552579888","Open Cytogram")</f>
      </c>
      <c r="L148" s="2" t="s">
        <v>314</v>
      </c>
      <c r="M148" s="3" t="s">
        <v>314</v>
      </c>
      <c r="N148" s="3" t="s">
        <v>314</v>
      </c>
      <c r="O148" s="3" t="s">
        <v>571</v>
      </c>
    </row>
    <row r="149">
      <c r="A149" s="16" t="s">
        <v>314</v>
      </c>
      <c r="B149" s="17" t="n">
        <v>46213</v>
      </c>
      <c r="C149" s="17" t="n">
        <v>46168</v>
      </c>
      <c r="D149" s="18" t="str">
        <f>IF(OR(C149="",B149=""),"",B149-C149)</f>
      </c>
      <c r="E149" s="19" t="n">
        <v>1813894.11135041</v>
      </c>
      <c r="F149" s="21" t="n">
        <v>23.7732620320856</v>
      </c>
      <c r="G149" s="20" t="n">
        <v>2098855.34208802</v>
      </c>
      <c r="H149" s="22" t="n">
        <v>27.5080213903743</v>
      </c>
      <c r="I149" s="25" t="n">
        <v>3440425.39745066</v>
      </c>
      <c r="J149" s="26" t="n">
        <v>45.0909090909091</v>
      </c>
      <c r="K149" s="23" t="str">
        <f>=HYPERLINK("https://ucloud.univie.ac.at/index.php/f/1552579888","Open Cytogram")</f>
      </c>
      <c r="L149" s="14" t="s">
        <v>314</v>
      </c>
      <c r="M149" s="24" t="s">
        <v>314</v>
      </c>
      <c r="N149" s="24" t="s">
        <v>314</v>
      </c>
      <c r="O149" s="24" t="s">
        <v>571</v>
      </c>
    </row>
    <row r="150">
      <c r="A150" s="4" t="s">
        <v>603</v>
      </c>
      <c r="B150" s="5" t="n">
        <v>46168</v>
      </c>
      <c r="C150" s="5" t="n">
        <v>46168</v>
      </c>
      <c r="D150" s="6" t="str">
        <f>IF(OR(C150="",B150=""),"",B150-C150)</f>
      </c>
      <c r="E150" s="7" t="n">
        <v>352057.833662634</v>
      </c>
      <c r="F150" s="9" t="n">
        <v>37.2340425531915</v>
      </c>
      <c r="G150" s="8" t="n">
        <v>273892.612260156</v>
      </c>
      <c r="H150" s="10" t="n">
        <v>28.9671985815603</v>
      </c>
      <c r="I150" s="11" t="n">
        <v>277455.102243647</v>
      </c>
      <c r="J150" s="12" t="n">
        <v>29.3439716312057</v>
      </c>
      <c r="K150" s="13" t="str">
        <f>=HYPERLINK("https://ucloud.univie.ac.at/index.php/f/1515117663","Open Cytogram")</f>
      </c>
      <c r="L150" s="2" t="s">
        <v>314</v>
      </c>
      <c r="M150" s="3" t="s">
        <v>314</v>
      </c>
      <c r="N150" s="3" t="s">
        <v>314</v>
      </c>
      <c r="O150" s="3" t="s">
        <v>598</v>
      </c>
    </row>
    <row r="151">
      <c r="A151" s="4" t="s">
        <v>314</v>
      </c>
      <c r="B151" s="5" t="n">
        <v>46168</v>
      </c>
      <c r="C151" s="5" t="n">
        <v>46168</v>
      </c>
      <c r="D151" s="6" t="str">
        <f>IF(OR(C151="",B151=""),"",B151-C151)</f>
      </c>
      <c r="E151" s="7" t="n">
        <v>1479271.57578512</v>
      </c>
      <c r="F151" s="9" t="n">
        <v>41.1195899108755</v>
      </c>
      <c r="G151" s="8" t="n">
        <v>819582.254270523</v>
      </c>
      <c r="H151" s="10" t="n">
        <v>22.7820819013223</v>
      </c>
      <c r="I151" s="11" t="n">
        <v>1126165.9510227</v>
      </c>
      <c r="J151" s="12" t="n">
        <v>31.3042465194851</v>
      </c>
      <c r="K151" s="13" t="str">
        <f>=HYPERLINK("https://ucloud.univie.ac.at/index.php/f/1515117663","Open Cytogram")</f>
      </c>
      <c r="L151" s="2" t="s">
        <v>314</v>
      </c>
      <c r="M151" t="s">
        <v>314</v>
      </c>
      <c r="N151" t="s">
        <v>314</v>
      </c>
      <c r="O151" t="s">
        <v>598</v>
      </c>
    </row>
    <row r="152">
      <c r="A152" s="4" t="s">
        <v>314</v>
      </c>
      <c r="B152" s="5" t="n">
        <v>46169</v>
      </c>
      <c r="C152" s="5" t="n">
        <v>46168</v>
      </c>
      <c r="D152" s="6" t="str">
        <f>IF(OR(C152="",B152=""),"",B152-C152)</f>
      </c>
      <c r="E152" s="7" t="n">
        <v>1264055.26879349</v>
      </c>
      <c r="F152" s="9" t="n">
        <v>31.2010758991689</v>
      </c>
      <c r="G152" s="8" t="n">
        <v>904593.044367581</v>
      </c>
      <c r="H152" s="10" t="n">
        <v>22.3283561502121</v>
      </c>
      <c r="I152" s="11" t="n">
        <v>1715443.70529568</v>
      </c>
      <c r="J152" s="12" t="n">
        <v>42.3428394082555</v>
      </c>
      <c r="K152" s="13" t="str">
        <f>=HYPERLINK("https://ucloud.univie.ac.at/index.php/f/1515117663","Open Cytogram")</f>
      </c>
      <c r="L152" s="2" t="s">
        <v>314</v>
      </c>
      <c r="M152" s="3" t="s">
        <v>314</v>
      </c>
      <c r="N152" s="3" t="s">
        <v>314</v>
      </c>
      <c r="O152" s="3" t="s">
        <v>598</v>
      </c>
    </row>
    <row r="153">
      <c r="A153" s="4" t="s">
        <v>314</v>
      </c>
      <c r="B153" s="5" t="n">
        <v>46171</v>
      </c>
      <c r="C153" s="5" t="n">
        <v>46168</v>
      </c>
      <c r="D153" s="6" t="str">
        <f>IF(OR(C153="",B153=""),"",B153-C153)</f>
      </c>
      <c r="E153" s="7" t="n">
        <v>2109832.302091</v>
      </c>
      <c r="F153" s="9" t="n">
        <v>46.1496149614961</v>
      </c>
      <c r="G153" s="8" t="n">
        <v>963548.760927136</v>
      </c>
      <c r="H153" s="10" t="n">
        <v>21.0762742940961</v>
      </c>
      <c r="I153" s="11" t="n">
        <v>1325106.56769521</v>
      </c>
      <c r="J153" s="12" t="n">
        <v>28.9848429287373</v>
      </c>
      <c r="K153" s="13" t="str">
        <f>=HYPERLINK("https://ucloud.univie.ac.at/index.php/f/1515117663","Open Cytogram")</f>
      </c>
      <c r="L153" s="2" t="s">
        <v>314</v>
      </c>
      <c r="M153" t="s">
        <v>314</v>
      </c>
      <c r="N153" t="s">
        <v>314</v>
      </c>
      <c r="O153" t="s">
        <v>598</v>
      </c>
    </row>
    <row r="154">
      <c r="A154" s="4" t="s">
        <v>314</v>
      </c>
      <c r="B154" s="5" t="n">
        <v>46175</v>
      </c>
      <c r="C154" s="5" t="n">
        <v>46168</v>
      </c>
      <c r="D154" s="6" t="str">
        <f>IF(OR(C154="",B154=""),"",B154-C154)</f>
      </c>
      <c r="E154" s="7" t="n">
        <v>4142476.89332443</v>
      </c>
      <c r="F154" s="9" t="n">
        <v>44.2024745025915</v>
      </c>
      <c r="G154" s="8" t="n">
        <v>1951175.16838288</v>
      </c>
      <c r="H154" s="10" t="n">
        <v>20.8200969737502</v>
      </c>
      <c r="I154" s="11" t="n">
        <v>3036641.21768804</v>
      </c>
      <c r="J154" s="12" t="n">
        <v>32.4026082594884</v>
      </c>
      <c r="K154" s="13" t="str">
        <f>=HYPERLINK("https://ucloud.univie.ac.at/index.php/f/1515117663","Open Cytogram")</f>
      </c>
      <c r="L154" s="2" t="s">
        <v>314</v>
      </c>
      <c r="M154" s="3" t="s">
        <v>314</v>
      </c>
      <c r="N154" s="3" t="s">
        <v>314</v>
      </c>
      <c r="O154" s="3" t="s">
        <v>598</v>
      </c>
    </row>
    <row r="155">
      <c r="A155" s="4" t="s">
        <v>314</v>
      </c>
      <c r="B155" s="5" t="n">
        <v>46178</v>
      </c>
      <c r="C155" s="5" t="n">
        <v>46168</v>
      </c>
      <c r="D155" s="6" t="str">
        <f>IF(OR(C155="",B155=""),"",B155-C155)</f>
      </c>
      <c r="E155" s="7" t="n">
        <v>2816267.72974732</v>
      </c>
      <c r="F155" s="9" t="n">
        <v>31.8176232026545</v>
      </c>
      <c r="G155" s="8" t="n">
        <v>443452.482745072</v>
      </c>
      <c r="H155" s="10" t="n">
        <v>5.01003645897341</v>
      </c>
      <c r="I155" s="11" t="n">
        <v>5434921.72025011</v>
      </c>
      <c r="J155" s="12" t="n">
        <v>61.4026463479579</v>
      </c>
      <c r="K155" s="13" t="str">
        <f>=HYPERLINK("https://ucloud.univie.ac.at/index.php/f/1525440666","Open Cytogram")</f>
      </c>
      <c r="L155" s="2" t="s">
        <v>314</v>
      </c>
      <c r="M155" t="s">
        <v>314</v>
      </c>
      <c r="N155" t="s">
        <v>314</v>
      </c>
      <c r="O155" t="s">
        <v>537</v>
      </c>
    </row>
    <row r="156">
      <c r="A156" s="4" t="s">
        <v>314</v>
      </c>
      <c r="B156" s="5" t="n">
        <v>46182</v>
      </c>
      <c r="C156" s="5" t="n">
        <v>46168</v>
      </c>
      <c r="D156" s="6" t="str">
        <f>IF(OR(C156="",B156=""),"",B156-C156)</f>
      </c>
      <c r="E156" s="7" t="n">
        <v>2572880.26776369</v>
      </c>
      <c r="F156" s="9" t="n">
        <v>26.1921097770154</v>
      </c>
      <c r="G156" s="8" t="n">
        <v>227464.856678519</v>
      </c>
      <c r="H156" s="10" t="n">
        <v>2.3156089193825</v>
      </c>
      <c r="I156" s="11" t="n">
        <v>6932623.35410197</v>
      </c>
      <c r="J156" s="12" t="n">
        <v>70.5746140651801</v>
      </c>
      <c r="K156" s="13" t="str">
        <f>=HYPERLINK("https://ucloud.univie.ac.at/index.php/f/1525440666","Open Cytogram")</f>
      </c>
      <c r="L156" s="2" t="s">
        <v>314</v>
      </c>
      <c r="M156" s="3" t="s">
        <v>314</v>
      </c>
      <c r="N156" s="3" t="s">
        <v>314</v>
      </c>
      <c r="O156" s="3" t="s">
        <v>537</v>
      </c>
    </row>
    <row r="157">
      <c r="A157" s="4" t="s">
        <v>314</v>
      </c>
      <c r="B157" s="5" t="n">
        <v>46188</v>
      </c>
      <c r="C157" s="5" t="n">
        <v>46168</v>
      </c>
      <c r="D157" s="6" t="str">
        <f>IF(OR(C157="",B157=""),"",B157-C157)</f>
      </c>
      <c r="E157" s="7" t="n">
        <v>2623003.86194817</v>
      </c>
      <c r="F157" s="9" t="n">
        <v>32.409155261916</v>
      </c>
      <c r="G157" s="8" t="n">
        <v>1890306.9938248</v>
      </c>
      <c r="H157" s="10" t="n">
        <v>23.3561428346704</v>
      </c>
      <c r="I157" s="11" t="n">
        <v>3364931.05551706</v>
      </c>
      <c r="J157" s="12" t="n">
        <v>41.5762151958471</v>
      </c>
      <c r="K157" s="13" t="str">
        <f>=HYPERLINK("https://ucloud.univie.ac.at/index.php/f/1525440666","Open Cytogram")</f>
      </c>
      <c r="L157" s="2" t="s">
        <v>314</v>
      </c>
      <c r="M157" t="s">
        <v>314</v>
      </c>
      <c r="N157" t="s">
        <v>314</v>
      </c>
      <c r="O157" t="s">
        <v>537</v>
      </c>
    </row>
    <row r="158">
      <c r="A158" s="4" t="s">
        <v>314</v>
      </c>
      <c r="B158" s="5" t="n">
        <v>46196</v>
      </c>
      <c r="C158" s="5" t="n">
        <v>46168</v>
      </c>
      <c r="D158" s="6" t="str">
        <f>IF(OR(C158="",B158=""),"",B158-C158)</f>
      </c>
      <c r="E158" s="7" t="n">
        <v>74124.742308569</v>
      </c>
      <c r="F158" s="9" t="n">
        <v>11.3838600797791</v>
      </c>
      <c r="G158" s="8" t="n">
        <v>8990.87170858654</v>
      </c>
      <c r="H158" s="10" t="n">
        <v>1.38079165388156</v>
      </c>
      <c r="I158" s="11" t="n">
        <v>527264.67642133</v>
      </c>
      <c r="J158" s="12" t="n">
        <v>80.9757594354096</v>
      </c>
      <c r="K158" s="13" t="str">
        <f>=HYPERLINK("https://ucloud.univie.ac.at/index.php/f/1547934963","Open Cytogram")</f>
      </c>
      <c r="L158" s="2" t="s">
        <v>314</v>
      </c>
      <c r="M158" s="3" t="s">
        <v>314</v>
      </c>
      <c r="N158" s="3" t="s">
        <v>314</v>
      </c>
      <c r="O158" s="3" t="s">
        <v>553</v>
      </c>
    </row>
    <row r="159">
      <c r="A159" s="4" t="s">
        <v>314</v>
      </c>
      <c r="B159" s="5" t="n">
        <v>46204</v>
      </c>
      <c r="C159" s="5" t="n">
        <v>46168</v>
      </c>
      <c r="D159" s="6" t="str">
        <f>IF(OR(C159="",B159=""),"",B159-C159)</f>
      </c>
      <c r="E159" s="7" t="n">
        <v>744473.689961302</v>
      </c>
      <c r="F159" s="9" t="n">
        <v>25.183445846786</v>
      </c>
      <c r="G159" s="8" t="n">
        <v>463560.686319144</v>
      </c>
      <c r="H159" s="10" t="n">
        <v>15.6809509832697</v>
      </c>
      <c r="I159" s="11" t="n">
        <v>1748385.18096972</v>
      </c>
      <c r="J159" s="12" t="n">
        <v>59.1429410038157</v>
      </c>
      <c r="K159" s="13" t="str">
        <f>=HYPERLINK("https://ucloud.univie.ac.at/index.php/f/1547934963","Open Cytogram")</f>
      </c>
      <c r="L159" s="2" t="s">
        <v>314</v>
      </c>
      <c r="M159" t="s">
        <v>314</v>
      </c>
      <c r="N159" t="s">
        <v>314</v>
      </c>
      <c r="O159" t="s">
        <v>553</v>
      </c>
    </row>
    <row r="160">
      <c r="A160" s="16" t="s">
        <v>314</v>
      </c>
      <c r="B160" s="17" t="n">
        <v>46213</v>
      </c>
      <c r="C160" s="17" t="n">
        <v>46168</v>
      </c>
      <c r="D160" s="18" t="str">
        <f>IF(OR(C160="",B160=""),"",B160-C160)</f>
      </c>
      <c r="E160" s="19" t="n">
        <v>1046222.14858465</v>
      </c>
      <c r="F160" s="21" t="n">
        <v>20.7173194903256</v>
      </c>
      <c r="G160" s="20" t="n">
        <v>1201606.39479813</v>
      </c>
      <c r="H160" s="22" t="n">
        <v>23.7942425672487</v>
      </c>
      <c r="I160" s="25" t="n">
        <v>2635335.88133235</v>
      </c>
      <c r="J160" s="26" t="n">
        <v>52.1849929211892</v>
      </c>
      <c r="K160" s="23" t="str">
        <f>=HYPERLINK("https://ucloud.univie.ac.at/index.php/f/1552579888","Open Cytogram")</f>
      </c>
      <c r="L160" s="14" t="s">
        <v>314</v>
      </c>
      <c r="M160" s="15" t="s">
        <v>314</v>
      </c>
      <c r="N160" s="15" t="s">
        <v>314</v>
      </c>
      <c r="O160" s="15" t="s">
        <v>571</v>
      </c>
    </row>
    <row r="161">
      <c r="A161" s="4" t="s">
        <v>604</v>
      </c>
      <c r="B161" s="5" t="n">
        <v>46168</v>
      </c>
      <c r="C161" s="5" t="n">
        <v>46168</v>
      </c>
      <c r="D161" s="6" t="str">
        <f>IF(OR(C161="",B161=""),"",B161-C161)</f>
      </c>
      <c r="E161" s="7" t="n">
        <v>1089255.46585544</v>
      </c>
      <c r="F161" s="9" t="n">
        <v>20.4303365999148</v>
      </c>
      <c r="G161" s="8" t="n">
        <v>3056503.08510635</v>
      </c>
      <c r="H161" s="10" t="n">
        <v>57.3285044737963</v>
      </c>
      <c r="I161" s="11" t="n">
        <v>1053817.74892667</v>
      </c>
      <c r="J161" s="12" t="n">
        <v>19.7656582871751</v>
      </c>
      <c r="K161" s="13" t="str">
        <f>=HYPERLINK("https://ucloud.univie.ac.at/index.php/f/1515117663","Open Cytogram")</f>
      </c>
      <c r="L161" s="2" t="s">
        <v>314</v>
      </c>
      <c r="M161" t="s">
        <v>314</v>
      </c>
      <c r="N161" t="s">
        <v>314</v>
      </c>
      <c r="O161" t="s">
        <v>598</v>
      </c>
    </row>
    <row r="162">
      <c r="A162" s="4" t="s">
        <v>314</v>
      </c>
      <c r="B162" s="5" t="n">
        <v>46168</v>
      </c>
      <c r="C162" s="5" t="n">
        <v>46168</v>
      </c>
      <c r="D162" s="6" t="str">
        <f>IF(OR(C162="",B162=""),"",B162-C162)</f>
      </c>
      <c r="E162" s="7" t="n">
        <v>1724035.5934246</v>
      </c>
      <c r="F162" s="9" t="n">
        <v>42.5519809661736</v>
      </c>
      <c r="G162" s="8" t="n">
        <v>906758.479731157</v>
      </c>
      <c r="H162" s="10" t="n">
        <v>22.3802627495604</v>
      </c>
      <c r="I162" s="11" t="n">
        <v>1284801.53437294</v>
      </c>
      <c r="J162" s="12" t="n">
        <v>31.710975483604</v>
      </c>
      <c r="K162" s="13" t="str">
        <f>=HYPERLINK("https://ucloud.univie.ac.at/index.php/f/1515117663","Open Cytogram")</f>
      </c>
      <c r="L162" s="2" t="s">
        <v>314</v>
      </c>
      <c r="M162" s="3" t="s">
        <v>314</v>
      </c>
      <c r="N162" s="3" t="s">
        <v>314</v>
      </c>
      <c r="O162" s="3" t="s">
        <v>598</v>
      </c>
    </row>
    <row r="163">
      <c r="A163" s="4" t="s">
        <v>314</v>
      </c>
      <c r="B163" s="5" t="n">
        <v>46169</v>
      </c>
      <c r="C163" s="5" t="n">
        <v>46168</v>
      </c>
      <c r="D163" s="6" t="str">
        <f>IF(OR(C163="",B163=""),"",B163-C163)</f>
      </c>
      <c r="E163" s="7" t="n">
        <v>509086.803656443</v>
      </c>
      <c r="F163" s="9" t="n">
        <v>29.5371646267326</v>
      </c>
      <c r="G163" s="8" t="n">
        <v>333896.119851509</v>
      </c>
      <c r="H163" s="10" t="n">
        <v>19.3726189511226</v>
      </c>
      <c r="I163" s="11" t="n">
        <v>832365.306307652</v>
      </c>
      <c r="J163" s="12" t="n">
        <v>48.2937505066061</v>
      </c>
      <c r="K163" s="13" t="str">
        <f>=HYPERLINK("https://ucloud.univie.ac.at/index.php/f/1515117663","Open Cytogram")</f>
      </c>
      <c r="L163" s="2" t="s">
        <v>314</v>
      </c>
      <c r="M163" t="s">
        <v>314</v>
      </c>
      <c r="N163" t="s">
        <v>314</v>
      </c>
      <c r="O163" t="s">
        <v>598</v>
      </c>
    </row>
    <row r="164">
      <c r="A164" s="4" t="s">
        <v>314</v>
      </c>
      <c r="B164" s="5" t="n">
        <v>46171</v>
      </c>
      <c r="C164" s="5" t="n">
        <v>46168</v>
      </c>
      <c r="D164" s="6" t="str">
        <f>IF(OR(C164="",B164=""),"",B164-C164)</f>
      </c>
      <c r="E164" s="7" t="n">
        <v>2284184.75365602</v>
      </c>
      <c r="F164" s="9" t="n">
        <v>39.0793058941632</v>
      </c>
      <c r="G164" s="8" t="n">
        <v>1529984.66848097</v>
      </c>
      <c r="H164" s="10" t="n">
        <v>26.1759644342464</v>
      </c>
      <c r="I164" s="11" t="n">
        <v>1842855.11226157</v>
      </c>
      <c r="J164" s="12" t="n">
        <v>31.5287537645203</v>
      </c>
      <c r="K164" s="13" t="str">
        <f>=HYPERLINK("https://ucloud.univie.ac.at/index.php/f/1515117663","Open Cytogram")</f>
      </c>
      <c r="L164" s="2" t="s">
        <v>314</v>
      </c>
      <c r="M164" s="3" t="s">
        <v>314</v>
      </c>
      <c r="N164" s="3" t="s">
        <v>314</v>
      </c>
      <c r="O164" s="3" t="s">
        <v>598</v>
      </c>
    </row>
    <row r="165">
      <c r="A165" s="4" t="s">
        <v>314</v>
      </c>
      <c r="B165" s="5" t="n">
        <v>46175</v>
      </c>
      <c r="C165" s="5" t="n">
        <v>46168</v>
      </c>
      <c r="D165" s="6" t="str">
        <f>IF(OR(C165="",B165=""),"",B165-C165)</f>
      </c>
      <c r="E165" s="7" t="n">
        <v>4649758.93368898</v>
      </c>
      <c r="F165" s="9" t="n">
        <v>39.118112312154</v>
      </c>
      <c r="G165" s="8" t="n">
        <v>1782342.30398356</v>
      </c>
      <c r="H165" s="10" t="n">
        <v>14.9947271289217</v>
      </c>
      <c r="I165" s="11" t="n">
        <v>5153123.7382206</v>
      </c>
      <c r="J165" s="12" t="n">
        <v>43.3528868969154</v>
      </c>
      <c r="K165" s="13" t="str">
        <f>=HYPERLINK("https://ucloud.univie.ac.at/index.php/f/1515117663","Open Cytogram")</f>
      </c>
      <c r="L165" s="2" t="s">
        <v>314</v>
      </c>
      <c r="M165" t="s">
        <v>314</v>
      </c>
      <c r="N165" t="s">
        <v>314</v>
      </c>
      <c r="O165" t="s">
        <v>598</v>
      </c>
    </row>
    <row r="166">
      <c r="A166" s="4" t="s">
        <v>314</v>
      </c>
      <c r="B166" s="5" t="n">
        <v>46178</v>
      </c>
      <c r="C166" s="5" t="n">
        <v>46168</v>
      </c>
      <c r="D166" s="6" t="str">
        <f>IF(OR(C166="",B166=""),"",B166-C166)</f>
      </c>
      <c r="E166" s="7" t="n">
        <v>2545409.99907637</v>
      </c>
      <c r="F166" s="9" t="n">
        <v>29.5268138801262</v>
      </c>
      <c r="G166" s="8" t="n">
        <v>565646.666461416</v>
      </c>
      <c r="H166" s="10" t="n">
        <v>6.5615141955836</v>
      </c>
      <c r="I166" s="11" t="n">
        <v>5332670.2074667</v>
      </c>
      <c r="J166" s="12" t="n">
        <v>61.8590956887487</v>
      </c>
      <c r="K166" s="13" t="str">
        <f>=HYPERLINK("https://ucloud.univie.ac.at/index.php/f/1525440666","Open Cytogram")</f>
      </c>
      <c r="L166" s="2" t="s">
        <v>314</v>
      </c>
      <c r="M166" s="3" t="s">
        <v>314</v>
      </c>
      <c r="N166" s="3" t="s">
        <v>314</v>
      </c>
      <c r="O166" s="3" t="s">
        <v>537</v>
      </c>
    </row>
    <row r="167">
      <c r="A167" s="4" t="s">
        <v>314</v>
      </c>
      <c r="B167" s="5" t="n">
        <v>46182</v>
      </c>
      <c r="C167" s="5" t="n">
        <v>46168</v>
      </c>
      <c r="D167" s="6" t="str">
        <f>IF(OR(C167="",B167=""),"",B167-C167)</f>
      </c>
      <c r="E167" s="7" t="n">
        <v>3493955.94745013</v>
      </c>
      <c r="F167" s="9" t="n">
        <v>37.6921572462351</v>
      </c>
      <c r="G167" s="8" t="n">
        <v>1089957.61498911</v>
      </c>
      <c r="H167" s="10" t="n">
        <v>11.7582632505378</v>
      </c>
      <c r="I167" s="11" t="n">
        <v>4386299.82319471</v>
      </c>
      <c r="J167" s="12" t="n">
        <v>47.3185996479562</v>
      </c>
      <c r="K167" s="13" t="str">
        <f>=HYPERLINK("https://ucloud.univie.ac.at/index.php/f/1525440666","Open Cytogram")</f>
      </c>
      <c r="L167" s="2" t="s">
        <v>314</v>
      </c>
      <c r="M167" t="s">
        <v>314</v>
      </c>
      <c r="N167" t="s">
        <v>314</v>
      </c>
      <c r="O167" t="s">
        <v>537</v>
      </c>
    </row>
    <row r="168">
      <c r="A168" s="4" t="s">
        <v>314</v>
      </c>
      <c r="B168" s="5" t="n">
        <v>46188</v>
      </c>
      <c r="C168" s="5" t="n">
        <v>46168</v>
      </c>
      <c r="D168" s="6" t="str">
        <f>IF(OR(C168="",B168=""),"",B168-C168)</f>
      </c>
      <c r="E168" s="7" t="n">
        <v>1764583.59551519</v>
      </c>
      <c r="F168" s="9" t="n">
        <v>35.5065966440374</v>
      </c>
      <c r="G168" s="8" t="n">
        <v>1275058.05981851</v>
      </c>
      <c r="H168" s="10" t="n">
        <v>25.6564621493531</v>
      </c>
      <c r="I168" s="11" t="n">
        <v>1763628.7342622</v>
      </c>
      <c r="J168" s="12" t="n">
        <v>35.4873831177149</v>
      </c>
      <c r="K168" s="13" t="str">
        <f>=HYPERLINK("https://ucloud.univie.ac.at/index.php/f/1525440666","Open Cytogram")</f>
      </c>
      <c r="L168" s="2" t="s">
        <v>314</v>
      </c>
      <c r="M168" s="3" t="s">
        <v>314</v>
      </c>
      <c r="N168" s="3" t="s">
        <v>314</v>
      </c>
      <c r="O168" s="3" t="s">
        <v>537</v>
      </c>
    </row>
    <row r="169">
      <c r="A169" s="4" t="s">
        <v>314</v>
      </c>
      <c r="B169" s="5" t="n">
        <v>46196</v>
      </c>
      <c r="C169" s="5" t="n">
        <v>46168</v>
      </c>
      <c r="D169" s="6" t="str">
        <f>IF(OR(C169="",B169=""),"",B169-C169)</f>
      </c>
      <c r="E169" s="7" t="n">
        <v>737153.805408332</v>
      </c>
      <c r="F169" s="9" t="n">
        <v>26.2726196516151</v>
      </c>
      <c r="G169" s="8" t="n">
        <v>265014.741113971</v>
      </c>
      <c r="H169" s="10" t="n">
        <v>9.44529003889735</v>
      </c>
      <c r="I169" s="11" t="n">
        <v>1757828.30520448</v>
      </c>
      <c r="J169" s="12" t="n">
        <v>62.6500930153898</v>
      </c>
      <c r="K169" s="13" t="str">
        <f>=HYPERLINK("https://ucloud.univie.ac.at/index.php/f/1547934963","Open Cytogram")</f>
      </c>
      <c r="L169" s="2" t="s">
        <v>314</v>
      </c>
      <c r="M169" t="s">
        <v>314</v>
      </c>
      <c r="N169" t="s">
        <v>314</v>
      </c>
      <c r="O169" t="s">
        <v>553</v>
      </c>
    </row>
    <row r="170">
      <c r="A170" s="4" t="s">
        <v>314</v>
      </c>
      <c r="B170" s="5" t="n">
        <v>46204</v>
      </c>
      <c r="C170" s="5" t="n">
        <v>46168</v>
      </c>
      <c r="D170" s="6" t="str">
        <f>IF(OR(C170="",B170=""),"",B170-C170)</f>
      </c>
      <c r="E170" s="7" t="n">
        <v>1755714.94656991</v>
      </c>
      <c r="F170" s="9" t="n">
        <v>21.1819521325316</v>
      </c>
      <c r="G170" s="8" t="n">
        <v>2842350.32993298</v>
      </c>
      <c r="H170" s="10" t="n">
        <v>34.2917446537374</v>
      </c>
      <c r="I170" s="11" t="n">
        <v>3655676.44919379</v>
      </c>
      <c r="J170" s="12" t="n">
        <v>44.1041774521126</v>
      </c>
      <c r="K170" s="13" t="str">
        <f>=HYPERLINK("https://ucloud.univie.ac.at/index.php/f/1547934963","Open Cytogram")</f>
      </c>
      <c r="L170" s="2" t="s">
        <v>314</v>
      </c>
      <c r="M170" s="3" t="s">
        <v>314</v>
      </c>
      <c r="N170" s="3" t="s">
        <v>314</v>
      </c>
      <c r="O170" s="3" t="s">
        <v>553</v>
      </c>
    </row>
    <row r="171">
      <c r="A171" s="16" t="s">
        <v>314</v>
      </c>
      <c r="B171" s="17" t="n">
        <v>46213</v>
      </c>
      <c r="C171" s="17" t="n">
        <v>46168</v>
      </c>
      <c r="D171" s="18" t="str">
        <f>IF(OR(C171="",B171=""),"",B171-C171)</f>
      </c>
      <c r="E171" s="19" t="n">
        <v>1881462.23822634</v>
      </c>
      <c r="F171" s="21" t="n">
        <v>22.653670806477</v>
      </c>
      <c r="G171" s="20" t="n">
        <v>2574769.9748663</v>
      </c>
      <c r="H171" s="22" t="n">
        <v>31.0014148718755</v>
      </c>
      <c r="I171" s="25" t="n">
        <v>3479595.32607439</v>
      </c>
      <c r="J171" s="26" t="n">
        <v>41.8959283131583</v>
      </c>
      <c r="K171" s="23" t="str">
        <f>=HYPERLINK("https://ucloud.univie.ac.at/index.php/f/1552579888","Open Cytogram")</f>
      </c>
      <c r="L171" s="14" t="s">
        <v>314</v>
      </c>
      <c r="M171" s="24" t="s">
        <v>314</v>
      </c>
      <c r="N171" s="24" t="s">
        <v>314</v>
      </c>
      <c r="O171" s="24" t="s">
        <v>571</v>
      </c>
    </row>
    <row r="172">
      <c r="A172" s="4" t="s">
        <v>605</v>
      </c>
      <c r="B172" s="5"/>
      <c r="C172" s="5" t="n">
        <v>46171</v>
      </c>
      <c r="D172" s="6" t="str">
        <f>IF(OR(C172="",B172=""),"",B172-C172)</f>
      </c>
      <c r="E172" s="7" t="n">
        <v>2062707.92540823</v>
      </c>
      <c r="F172" s="9" t="n">
        <v>17.4836074384607</v>
      </c>
      <c r="G172" s="8" t="n">
        <v>7356759.09947319</v>
      </c>
      <c r="H172" s="10" t="n">
        <v>62.3562291733849</v>
      </c>
      <c r="I172" s="11" t="n">
        <v>1523727.98793605</v>
      </c>
      <c r="J172" s="12" t="n">
        <v>12.915188648823</v>
      </c>
      <c r="K172" s="13" t="str">
        <f>=HYPERLINK("https://ucloud.univie.ac.at/index.php/f/1518571913","Open Cytogram")</f>
      </c>
      <c r="L172" s="2" t="s">
        <v>314</v>
      </c>
      <c r="M172" s="3" t="s">
        <v>314</v>
      </c>
      <c r="N172" s="3" t="s">
        <v>314</v>
      </c>
      <c r="O172" s="3" t="s">
        <v>534</v>
      </c>
    </row>
    <row r="173">
      <c r="A173" s="16" t="s">
        <v>314</v>
      </c>
      <c r="B173" s="17" t="n">
        <v>46189</v>
      </c>
      <c r="C173" s="17" t="n">
        <v>46171</v>
      </c>
      <c r="D173" s="18" t="str">
        <f>IF(OR(C173="",B173=""),"",B173-C173)</f>
      </c>
      <c r="E173" s="19" t="n">
        <v>10975604.1934828</v>
      </c>
      <c r="F173" s="21" t="n">
        <v>43.6160873947394</v>
      </c>
      <c r="G173" s="20" t="n">
        <v>6815265.22040338</v>
      </c>
      <c r="H173" s="22" t="n">
        <v>27.0832655980752</v>
      </c>
      <c r="I173" s="25" t="n">
        <v>6901990.08395233</v>
      </c>
      <c r="J173" s="26" t="n">
        <v>27.42790259128</v>
      </c>
      <c r="K173" s="23" t="str">
        <f>=HYPERLINK("https://ucloud.univie.ac.at/index.php/f/1525440666","Open Cytogram")</f>
      </c>
      <c r="L173" s="14" t="s">
        <v>314</v>
      </c>
      <c r="M173" s="24" t="s">
        <v>314</v>
      </c>
      <c r="N173" s="24" t="s">
        <v>314</v>
      </c>
      <c r="O173" s="24" t="s">
        <v>537</v>
      </c>
    </row>
    <row r="174">
      <c r="A174" s="4" t="s">
        <v>606</v>
      </c>
      <c r="B174" s="5"/>
      <c r="C174" s="5" t="n">
        <v>46171</v>
      </c>
      <c r="D174" s="6" t="str">
        <f>IF(OR(C174="",B174=""),"",B174-C174)</f>
      </c>
      <c r="E174" s="7" t="n">
        <v>2864202.79713156</v>
      </c>
      <c r="F174" s="9" t="n">
        <v>22.2512315270936</v>
      </c>
      <c r="G174" s="8" t="n">
        <v>7767652.04004022</v>
      </c>
      <c r="H174" s="10" t="n">
        <v>60.3448275862069</v>
      </c>
      <c r="I174" s="11" t="n">
        <v>1291649.56780097</v>
      </c>
      <c r="J174" s="12" t="n">
        <v>10.0344827586207</v>
      </c>
      <c r="K174" s="13" t="str">
        <f>=HYPERLINK("https://ucloud.univie.ac.at/index.php/f/1518571913","Open Cytogram")</f>
      </c>
      <c r="L174" s="2" t="s">
        <v>314</v>
      </c>
      <c r="M174" s="3" t="s">
        <v>314</v>
      </c>
      <c r="N174" s="3" t="s">
        <v>314</v>
      </c>
      <c r="O174" s="3" t="s">
        <v>534</v>
      </c>
    </row>
    <row r="175">
      <c r="A175" s="16" t="s">
        <v>314</v>
      </c>
      <c r="B175" s="17" t="n">
        <v>46189</v>
      </c>
      <c r="C175" s="17" t="n">
        <v>46171</v>
      </c>
      <c r="D175" s="18" t="str">
        <f>IF(OR(C175="",B175=""),"",B175-C175)</f>
      </c>
      <c r="E175" s="19" t="n">
        <v>12652012.1690658</v>
      </c>
      <c r="F175" s="21" t="n">
        <v>31.5830320854523</v>
      </c>
      <c r="G175" s="20" t="n">
        <v>13758981.41795</v>
      </c>
      <c r="H175" s="22" t="n">
        <v>34.3463431570778</v>
      </c>
      <c r="I175" s="25" t="n">
        <v>11742219.2608919</v>
      </c>
      <c r="J175" s="26" t="n">
        <v>29.3119294160897</v>
      </c>
      <c r="K175" s="23" t="str">
        <f>=HYPERLINK("https://ucloud.univie.ac.at/index.php/f/1525440666","Open Cytogram")</f>
      </c>
      <c r="L175" s="14" t="s">
        <v>314</v>
      </c>
      <c r="M175" s="24" t="s">
        <v>314</v>
      </c>
      <c r="N175" s="24" t="s">
        <v>314</v>
      </c>
      <c r="O175" s="24" t="s">
        <v>537</v>
      </c>
    </row>
    <row r="176">
      <c r="A176" s="4" t="s">
        <v>607</v>
      </c>
      <c r="B176" s="5" t="n">
        <v>46184</v>
      </c>
      <c r="C176" s="5" t="n">
        <v>46184</v>
      </c>
      <c r="D176" s="6" t="str">
        <f>IF(OR(C176="",B176=""),"",B176-C176)</f>
      </c>
      <c r="E176" s="7" t="n">
        <v>966139.811349547</v>
      </c>
      <c r="F176" s="9" t="n">
        <v>54.3454100911313</v>
      </c>
      <c r="G176" s="8" t="n">
        <v>251710.044920107</v>
      </c>
      <c r="H176" s="10" t="n">
        <v>14.1587019337631</v>
      </c>
      <c r="I176" s="11" t="n">
        <v>465485.765959005</v>
      </c>
      <c r="J176" s="12" t="n">
        <v>26.1835963547455</v>
      </c>
      <c r="K176" s="13" t="str">
        <f>=HYPERLINK("https://ucloud.univie.ac.at/index.php/f/1525440666","Open Cytogram")</f>
      </c>
      <c r="L176" s="2" t="s">
        <v>314</v>
      </c>
      <c r="M176" s="3" t="s">
        <v>314</v>
      </c>
      <c r="N176" s="3" t="s">
        <v>314</v>
      </c>
      <c r="O176" s="3" t="s">
        <v>537</v>
      </c>
    </row>
    <row r="177">
      <c r="A177" s="4" t="s">
        <v>314</v>
      </c>
      <c r="B177" s="5" t="n">
        <v>46191</v>
      </c>
      <c r="C177" s="5" t="n">
        <v>46184</v>
      </c>
      <c r="D177" s="6" t="str">
        <f>IF(OR(C177="",B177=""),"",B177-C177)</f>
      </c>
      <c r="E177" s="7" t="n">
        <v>2238086.56037229</v>
      </c>
      <c r="F177" s="9" t="n">
        <v>12.6156634551178</v>
      </c>
      <c r="G177" s="8" t="n">
        <v>14408792.8141019</v>
      </c>
      <c r="H177" s="10" t="n">
        <v>81.2195936277783</v>
      </c>
      <c r="I177" s="11" t="n">
        <v>810618.875174539</v>
      </c>
      <c r="J177" s="12" t="n">
        <v>4.56930268053038</v>
      </c>
      <c r="K177" s="13" t="str">
        <f>=HYPERLINK("https://ucloud.univie.ac.at/index.php/f/1527061636","Open Cytogram")</f>
      </c>
      <c r="L177" s="2" t="s">
        <v>314</v>
      </c>
      <c r="M177" t="s">
        <v>314</v>
      </c>
      <c r="N177" t="s">
        <v>314</v>
      </c>
      <c r="O177" t="s">
        <v>608</v>
      </c>
    </row>
    <row r="178">
      <c r="A178" s="4" t="s">
        <v>314</v>
      </c>
      <c r="B178" s="5" t="n">
        <v>46196</v>
      </c>
      <c r="C178" s="5" t="n">
        <v>46184</v>
      </c>
      <c r="D178" s="6" t="str">
        <f>IF(OR(C178="",B178=""),"",B178-C178)</f>
      </c>
      <c r="E178" s="7" t="n">
        <v>2826145.17426273</v>
      </c>
      <c r="F178" s="9" t="n">
        <v>13.6088575608459</v>
      </c>
      <c r="G178" s="8" t="n">
        <v>14452490.7506702</v>
      </c>
      <c r="H178" s="10" t="n">
        <v>69.5936959702088</v>
      </c>
      <c r="I178" s="11" t="n">
        <v>2675619.97319035</v>
      </c>
      <c r="J178" s="12" t="n">
        <v>12.8840271312675</v>
      </c>
      <c r="K178" s="13" t="str">
        <f>=HYPERLINK("https://ucloud.univie.ac.at/index.php/f/1556102618","Open Cytogram")</f>
      </c>
      <c r="L178" s="2" t="s">
        <v>314</v>
      </c>
      <c r="M178" s="3" t="s">
        <v>314</v>
      </c>
      <c r="N178" s="3" t="s">
        <v>314</v>
      </c>
      <c r="O178" s="3" t="s">
        <v>554</v>
      </c>
    </row>
    <row r="179">
      <c r="A179" s="4" t="s">
        <v>314</v>
      </c>
      <c r="B179" s="5" t="n">
        <v>46197</v>
      </c>
      <c r="C179" s="5"/>
      <c r="D179" s="6" t="str">
        <f>IF(OR(C179="",B179=""),"",B179-C179)</f>
      </c>
      <c r="E179" s="7" t="n">
        <v>1712847.51673562</v>
      </c>
      <c r="F179" s="9" t="n">
        <v>8.6579691633975</v>
      </c>
      <c r="G179" s="8" t="n">
        <v>15587995.3406608</v>
      </c>
      <c r="H179" s="10" t="n">
        <v>78.7929933400237</v>
      </c>
      <c r="I179" s="11" t="n">
        <v>2247999.55963563</v>
      </c>
      <c r="J179" s="12" t="n">
        <v>11.3630143235106</v>
      </c>
      <c r="K179" s="13" t="str">
        <f>=HYPERLINK("https://ucloud.univie.ac.at/index.php/f/1563063010","Open Cytogram")</f>
      </c>
      <c r="L179" s="2" t="s">
        <v>314</v>
      </c>
      <c r="M179" t="s">
        <v>314</v>
      </c>
      <c r="N179" t="s">
        <v>314</v>
      </c>
      <c r="O179" t="s">
        <v>556</v>
      </c>
    </row>
    <row r="180">
      <c r="A180" s="4" t="s">
        <v>314</v>
      </c>
      <c r="B180" s="5" t="n">
        <v>46199</v>
      </c>
      <c r="C180" s="5"/>
      <c r="D180" s="6" t="str">
        <f>IF(OR(C180="",B180=""),"",B180-C180)</f>
      </c>
      <c r="E180" s="7" t="n">
        <v>5801132.32687487</v>
      </c>
      <c r="F180" s="9" t="n">
        <v>32.9917851779878</v>
      </c>
      <c r="G180" s="8" t="n">
        <v>8175946.60473075</v>
      </c>
      <c r="H180" s="10" t="n">
        <v>46.4976592173836</v>
      </c>
      <c r="I180" s="11" t="n">
        <v>2815917.78008679</v>
      </c>
      <c r="J180" s="12" t="n">
        <v>16.0144863527957</v>
      </c>
      <c r="K180" s="13" t="str">
        <f>=HYPERLINK("https://ucloud.univie.ac.at/index.php/f/1567856234","Open Cytogram")</f>
      </c>
      <c r="L180" s="2" t="s">
        <v>314</v>
      </c>
      <c r="M180" s="3" t="s">
        <v>314</v>
      </c>
      <c r="N180" s="3" t="s">
        <v>314</v>
      </c>
      <c r="O180" s="3" t="s">
        <v>558</v>
      </c>
    </row>
    <row r="181">
      <c r="A181" s="4" t="s">
        <v>314</v>
      </c>
      <c r="B181" s="5" t="n">
        <v>46203</v>
      </c>
      <c r="C181" s="5"/>
      <c r="D181" s="6" t="str">
        <f>IF(OR(C181="",B181=""),"",B181-C181)</f>
      </c>
      <c r="E181" s="7" t="n">
        <v>4306602.61153503</v>
      </c>
      <c r="F181" s="9" t="n">
        <v>23.5623142807202</v>
      </c>
      <c r="G181" s="8" t="n">
        <v>11924624.8127259</v>
      </c>
      <c r="H181" s="10" t="n">
        <v>65.2420905436113</v>
      </c>
      <c r="I181" s="11" t="n">
        <v>1514339.49396707</v>
      </c>
      <c r="J181" s="12" t="n">
        <v>8.28526481384374</v>
      </c>
      <c r="K181" s="13" t="str">
        <f>=HYPERLINK("https://ucloud.univie.ac.at/index.php/f/1563063010","Open Cytogram")</f>
      </c>
      <c r="L181" s="2" t="s">
        <v>314</v>
      </c>
      <c r="M181" t="s">
        <v>314</v>
      </c>
      <c r="N181" t="s">
        <v>314</v>
      </c>
      <c r="O181" t="s">
        <v>556</v>
      </c>
    </row>
    <row r="182">
      <c r="A182" s="4" t="s">
        <v>314</v>
      </c>
      <c r="B182" s="5" t="n">
        <v>46209</v>
      </c>
      <c r="C182" s="5"/>
      <c r="D182" s="6" t="str">
        <f>IF(OR(C182="",B182=""),"",B182-C182)</f>
      </c>
      <c r="E182" s="7" t="n">
        <v>3557452.53475859</v>
      </c>
      <c r="F182" s="9" t="n">
        <v>19.5400019827501</v>
      </c>
      <c r="G182" s="8" t="n">
        <v>13521387.9574551</v>
      </c>
      <c r="H182" s="10" t="n">
        <v>74.2688609100823</v>
      </c>
      <c r="I182" s="11" t="n">
        <v>706617.284301363</v>
      </c>
      <c r="J182" s="12" t="n">
        <v>3.88123327054625</v>
      </c>
      <c r="K182" s="13" t="str">
        <f>=HYPERLINK("https://ucloud.univie.ac.at/index.php/f/1563063010","Open Cytogram")</f>
      </c>
      <c r="L182" s="2" t="s">
        <v>314</v>
      </c>
      <c r="M182" s="3" t="s">
        <v>314</v>
      </c>
      <c r="N182" s="3" t="s">
        <v>314</v>
      </c>
      <c r="O182" s="3" t="s">
        <v>556</v>
      </c>
    </row>
    <row r="183">
      <c r="A183" s="4" t="s">
        <v>314</v>
      </c>
      <c r="B183" s="5" t="n">
        <v>46216</v>
      </c>
      <c r="C183" s="5"/>
      <c r="D183" s="6" t="str">
        <f>IF(OR(C183="",B183=""),"",B183-C183)</f>
      </c>
      <c r="E183" s="7" t="n">
        <v>8013531.68979189</v>
      </c>
      <c r="F183" s="9" t="n">
        <v>22.5955350406107</v>
      </c>
      <c r="G183" s="8" t="n">
        <v>20728776.0406343</v>
      </c>
      <c r="H183" s="10" t="n">
        <v>58.448360037282</v>
      </c>
      <c r="I183" s="11" t="n">
        <v>5849201.28840438</v>
      </c>
      <c r="J183" s="12" t="n">
        <v>16.4928320979983</v>
      </c>
      <c r="K183" s="13" t="str">
        <f>=HYPERLINK("https://ucloud.univie.ac.at/index.php/f/1563063010","Open Cytogram")</f>
      </c>
      <c r="L183" s="2" t="s">
        <v>314</v>
      </c>
      <c r="M183" t="s">
        <v>314</v>
      </c>
      <c r="N183" t="s">
        <v>314</v>
      </c>
      <c r="O183" t="s">
        <v>556</v>
      </c>
    </row>
    <row r="184">
      <c r="A184" s="16" t="s">
        <v>314</v>
      </c>
      <c r="B184" s="17" t="n">
        <v>46206</v>
      </c>
      <c r="C184" s="17"/>
      <c r="D184" s="18" t="str">
        <f>IF(OR(C184="",B184=""),"",B184-C184)</f>
      </c>
      <c r="E184" s="19" t="n">
        <v>9699617.50504246</v>
      </c>
      <c r="F184" s="21" t="n">
        <v>53.7805718222528</v>
      </c>
      <c r="G184" s="20" t="n">
        <v>3264787.18904712</v>
      </c>
      <c r="H184" s="22" t="n">
        <v>18.1019634860489</v>
      </c>
      <c r="I184" s="25" t="n">
        <v>4445981.60259152</v>
      </c>
      <c r="J184" s="26" t="n">
        <v>24.6512228728901</v>
      </c>
      <c r="K184" s="23" t="str">
        <f>=HYPERLINK("https://ucloud.univie.ac.at/index.php/f/1567856234","Open Cytogram")</f>
      </c>
      <c r="L184" s="14" t="s">
        <v>314</v>
      </c>
      <c r="M184" s="15" t="s">
        <v>314</v>
      </c>
      <c r="N184" s="15" t="s">
        <v>314</v>
      </c>
      <c r="O184" s="15" t="s">
        <v>558</v>
      </c>
    </row>
    <row r="185">
      <c r="A185" s="16" t="s">
        <v>609</v>
      </c>
      <c r="B185" s="17" t="n">
        <v>46195</v>
      </c>
      <c r="C185" s="17" t="n">
        <v>46184</v>
      </c>
      <c r="D185" s="18" t="str">
        <f>IF(OR(C185="",B185=""),"",B185-C185)</f>
      </c>
      <c r="E185" s="19" t="n">
        <v>3178407.80823883</v>
      </c>
      <c r="F185" s="21" t="n">
        <v>16.9341563786008</v>
      </c>
      <c r="G185" s="20" t="n">
        <v>12491567.5039472</v>
      </c>
      <c r="H185" s="22" t="n">
        <v>66.5534979423868</v>
      </c>
      <c r="I185" s="25" t="n">
        <v>2555342.04105066</v>
      </c>
      <c r="J185" s="26" t="n">
        <v>13.6145404663923</v>
      </c>
      <c r="K185" s="23" t="str">
        <f>=HYPERLINK("https://ucloud.univie.ac.at/index.php/f/1552579888","Open Cytogram")</f>
      </c>
      <c r="L185" s="14" t="s">
        <v>314</v>
      </c>
      <c r="M185" s="24" t="s">
        <v>314</v>
      </c>
      <c r="N185" s="24" t="s">
        <v>314</v>
      </c>
      <c r="O185" s="24" t="s">
        <v>571</v>
      </c>
    </row>
    <row r="186">
      <c r="A186" s="16" t="s">
        <v>610</v>
      </c>
      <c r="B186" s="17" t="n">
        <v>46195</v>
      </c>
      <c r="C186" s="17"/>
      <c r="D186" s="18" t="str">
        <f>IF(OR(C186="",B186=""),"",B186-C186)</f>
      </c>
      <c r="E186" s="19" t="n">
        <v>10272309.2493298</v>
      </c>
      <c r="F186" s="21" t="n">
        <v>38.9226100151745</v>
      </c>
      <c r="G186" s="20" t="n">
        <v>12492210.7238606</v>
      </c>
      <c r="H186" s="22" t="n">
        <v>47.3339961278845</v>
      </c>
      <c r="I186" s="25" t="n">
        <v>2790240.08042895</v>
      </c>
      <c r="J186" s="26" t="n">
        <v>10.5724451886348</v>
      </c>
      <c r="K186" s="23" t="str">
        <f>=HYPERLINK("https://ucloud.univie.ac.at/index.php/f/1556102618","Open Cytogram")</f>
      </c>
      <c r="L186" s="14" t="s">
        <v>314</v>
      </c>
      <c r="M186" s="15" t="s">
        <v>314</v>
      </c>
      <c r="N186" s="15" t="s">
        <v>314</v>
      </c>
      <c r="O186" s="15" t="s">
        <v>554</v>
      </c>
    </row>
    <row r="187">
      <c r="A187" s="16" t="s">
        <v>611</v>
      </c>
      <c r="B187" s="17" t="n">
        <v>46195</v>
      </c>
      <c r="C187" s="17" t="n">
        <v>46184</v>
      </c>
      <c r="D187" s="18" t="str">
        <f>IF(OR(C187="",B187=""),"",B187-C187)</f>
      </c>
      <c r="E187" s="19" t="n">
        <v>2290152.89220611</v>
      </c>
      <c r="F187" s="21" t="n">
        <v>12.5626721276746</v>
      </c>
      <c r="G187" s="20" t="n">
        <v>13281985.6466198</v>
      </c>
      <c r="H187" s="22" t="n">
        <v>72.8585551867806</v>
      </c>
      <c r="I187" s="25" t="n">
        <v>2369323.4390699</v>
      </c>
      <c r="J187" s="26" t="n">
        <v>12.9969634912789</v>
      </c>
      <c r="K187" s="23" t="str">
        <f>=HYPERLINK("https://ucloud.univie.ac.at/index.php/f/1552579888","Open Cytogram")</f>
      </c>
      <c r="L187" s="14" t="s">
        <v>314</v>
      </c>
      <c r="M187" s="24" t="s">
        <v>314</v>
      </c>
      <c r="N187" s="24" t="s">
        <v>314</v>
      </c>
      <c r="O187" s="24" t="s">
        <v>571</v>
      </c>
    </row>
    <row r="188">
      <c r="A188" s="4" t="s">
        <v>612</v>
      </c>
      <c r="B188" s="5" t="n">
        <v>46184</v>
      </c>
      <c r="C188" s="5" t="n">
        <v>46184</v>
      </c>
      <c r="D188" s="6" t="str">
        <f>IF(OR(C188="",B188=""),"",B188-C188)</f>
      </c>
      <c r="E188" s="7" t="n">
        <v>2129327.3606376</v>
      </c>
      <c r="F188" s="9" t="n">
        <v>56.5086689038031</v>
      </c>
      <c r="G188" s="8" t="n">
        <v>484189.495094879</v>
      </c>
      <c r="H188" s="10" t="n">
        <v>12.8495525727069</v>
      </c>
      <c r="I188" s="11" t="n">
        <v>1066112.56074482</v>
      </c>
      <c r="J188" s="12" t="n">
        <v>28.2927852348993</v>
      </c>
      <c r="K188" s="13" t="str">
        <f>=HYPERLINK("https://ucloud.univie.ac.at/index.php/f/1525440666","Open Cytogram")</f>
      </c>
      <c r="L188" s="2" t="s">
        <v>314</v>
      </c>
      <c r="M188" s="3" t="s">
        <v>314</v>
      </c>
      <c r="N188" s="3" t="s">
        <v>314</v>
      </c>
      <c r="O188" s="3" t="s">
        <v>537</v>
      </c>
    </row>
    <row r="189">
      <c r="A189" s="4" t="s">
        <v>314</v>
      </c>
      <c r="B189" s="5" t="n">
        <v>46191</v>
      </c>
      <c r="C189" s="5" t="n">
        <v>46184</v>
      </c>
      <c r="D189" s="6" t="str">
        <f>IF(OR(C189="",B189=""),"",B189-C189)</f>
      </c>
      <c r="E189" s="7" t="n">
        <v>2862973.86654807</v>
      </c>
      <c r="F189" s="9" t="n">
        <v>15.2241895205741</v>
      </c>
      <c r="G189" s="8" t="n">
        <v>14799294.4956187</v>
      </c>
      <c r="H189" s="10" t="n">
        <v>78.6969335643097</v>
      </c>
      <c r="I189" s="11" t="n">
        <v>703579.952721951</v>
      </c>
      <c r="J189" s="12" t="n">
        <v>3.74136650993273</v>
      </c>
      <c r="K189" s="13" t="str">
        <f>=HYPERLINK("https://ucloud.univie.ac.at/index.php/f/1527061636","Open Cytogram")</f>
      </c>
      <c r="L189" s="2" t="s">
        <v>314</v>
      </c>
      <c r="M189" t="s">
        <v>314</v>
      </c>
      <c r="N189" t="s">
        <v>314</v>
      </c>
      <c r="O189" t="s">
        <v>608</v>
      </c>
    </row>
    <row r="190">
      <c r="A190" s="4" t="s">
        <v>314</v>
      </c>
      <c r="B190" s="5" t="n">
        <v>46196</v>
      </c>
      <c r="C190" s="5" t="n">
        <v>46184</v>
      </c>
      <c r="D190" s="6" t="str">
        <f>IF(OR(C190="",B190=""),"",B190-C190)</f>
      </c>
      <c r="E190" s="7" t="n">
        <v>3879821.58176944</v>
      </c>
      <c r="F190" s="9" t="n">
        <v>13.9971104025508</v>
      </c>
      <c r="G190" s="8" t="n">
        <v>20073709.383378</v>
      </c>
      <c r="H190" s="10" t="n">
        <v>72.4192905540056</v>
      </c>
      <c r="I190" s="11" t="n">
        <v>2683905.76407507</v>
      </c>
      <c r="J190" s="12" t="n">
        <v>9.68264248704663</v>
      </c>
      <c r="K190" s="13" t="str">
        <f>=HYPERLINK("https://ucloud.univie.ac.at/index.php/f/1556102618","Open Cytogram")</f>
      </c>
      <c r="L190" s="2" t="s">
        <v>314</v>
      </c>
      <c r="M190" s="3" t="s">
        <v>314</v>
      </c>
      <c r="N190" s="3" t="s">
        <v>314</v>
      </c>
      <c r="O190" s="3" t="s">
        <v>554</v>
      </c>
    </row>
    <row r="191">
      <c r="A191" s="4" t="s">
        <v>314</v>
      </c>
      <c r="B191" s="5" t="n">
        <v>46197</v>
      </c>
      <c r="C191" s="5"/>
      <c r="D191" s="6" t="str">
        <f>IF(OR(C191="",B191=""),"",B191-C191)</f>
      </c>
      <c r="E191" s="7" t="n">
        <v>2480831.30848588</v>
      </c>
      <c r="F191" s="9" t="n">
        <v>10.8134686492015</v>
      </c>
      <c r="G191" s="8" t="n">
        <v>17752969.6255127</v>
      </c>
      <c r="H191" s="10" t="n">
        <v>77.3817952954134</v>
      </c>
      <c r="I191" s="11" t="n">
        <v>2315683.20755721</v>
      </c>
      <c r="J191" s="12" t="n">
        <v>10.0936196994729</v>
      </c>
      <c r="K191" s="13" t="str">
        <f>=HYPERLINK("https://ucloud.univie.ac.at/index.php/f/1563063010","Open Cytogram")</f>
      </c>
      <c r="L191" s="2" t="s">
        <v>314</v>
      </c>
      <c r="M191" t="s">
        <v>314</v>
      </c>
      <c r="N191" t="s">
        <v>314</v>
      </c>
      <c r="O191" t="s">
        <v>556</v>
      </c>
    </row>
    <row r="192">
      <c r="A192" s="4" t="s">
        <v>314</v>
      </c>
      <c r="B192" s="5" t="n">
        <v>46199</v>
      </c>
      <c r="C192" s="5"/>
      <c r="D192" s="6" t="str">
        <f>IF(OR(C192="",B192=""),"",B192-C192)</f>
      </c>
      <c r="E192" s="7" t="n">
        <v>7735619.69317278</v>
      </c>
      <c r="F192" s="9" t="n">
        <v>38.0844962722233</v>
      </c>
      <c r="G192" s="8" t="n">
        <v>8661315.77531934</v>
      </c>
      <c r="H192" s="10" t="n">
        <v>42.6419422672529</v>
      </c>
      <c r="I192" s="11" t="n">
        <v>3000746.36024692</v>
      </c>
      <c r="J192" s="12" t="n">
        <v>14.7734658765054</v>
      </c>
      <c r="K192" s="13" t="str">
        <f>=HYPERLINK("https://ucloud.univie.ac.at/index.php/f/1567856234","Open Cytogram")</f>
      </c>
      <c r="L192" s="2" t="s">
        <v>314</v>
      </c>
      <c r="M192" s="3" t="s">
        <v>314</v>
      </c>
      <c r="N192" s="3" t="s">
        <v>314</v>
      </c>
      <c r="O192" s="3" t="s">
        <v>558</v>
      </c>
    </row>
    <row r="193">
      <c r="A193" s="4" t="s">
        <v>314</v>
      </c>
      <c r="B193" s="5" t="n">
        <v>46203</v>
      </c>
      <c r="C193" s="5"/>
      <c r="D193" s="6" t="str">
        <f>IF(OR(C193="",B193=""),"",B193-C193)</f>
      </c>
      <c r="E193" s="7" t="n">
        <v>3440558.82414956</v>
      </c>
      <c r="F193" s="9" t="n">
        <v>21.4991211182724</v>
      </c>
      <c r="G193" s="8" t="n">
        <v>10633784.7870396</v>
      </c>
      <c r="H193" s="10" t="n">
        <v>66.4476437599397</v>
      </c>
      <c r="I193" s="11" t="n">
        <v>1534420.92001687</v>
      </c>
      <c r="J193" s="12" t="n">
        <v>9.58818113333891</v>
      </c>
      <c r="K193" s="13" t="str">
        <f>=HYPERLINK("https://ucloud.univie.ac.at/index.php/f/1563063010","Open Cytogram")</f>
      </c>
      <c r="L193" s="2" t="s">
        <v>314</v>
      </c>
      <c r="M193" t="s">
        <v>314</v>
      </c>
      <c r="N193" t="s">
        <v>314</v>
      </c>
      <c r="O193" t="s">
        <v>556</v>
      </c>
    </row>
    <row r="194">
      <c r="A194" s="4" t="s">
        <v>314</v>
      </c>
      <c r="B194" s="5" t="n">
        <v>46209</v>
      </c>
      <c r="C194" s="5"/>
      <c r="D194" s="6" t="str">
        <f>IF(OR(C194="",B194=""),"",B194-C194)</f>
      </c>
      <c r="E194" s="7" t="n">
        <v>5524790.56767937</v>
      </c>
      <c r="F194" s="9" t="n">
        <v>26.1948568739036</v>
      </c>
      <c r="G194" s="8" t="n">
        <v>13754219.7063053</v>
      </c>
      <c r="H194" s="10" t="n">
        <v>65.2132985323692</v>
      </c>
      <c r="I194" s="11" t="n">
        <v>1344648.47204218</v>
      </c>
      <c r="J194" s="12" t="n">
        <v>6.37542253219802</v>
      </c>
      <c r="K194" s="13" t="str">
        <f>=HYPERLINK("https://ucloud.univie.ac.at/index.php/f/1563063010","Open Cytogram")</f>
      </c>
      <c r="L194" s="2" t="s">
        <v>314</v>
      </c>
      <c r="M194" s="3" t="s">
        <v>314</v>
      </c>
      <c r="N194" s="3" t="s">
        <v>314</v>
      </c>
      <c r="O194" s="3" t="s">
        <v>556</v>
      </c>
    </row>
    <row r="195">
      <c r="A195" s="4" t="s">
        <v>314</v>
      </c>
      <c r="B195" s="5" t="n">
        <v>46216</v>
      </c>
      <c r="C195" s="5"/>
      <c r="D195" s="6" t="str">
        <f>IF(OR(C195="",B195=""),"",B195-C195)</f>
      </c>
      <c r="E195" s="7" t="n">
        <v>7706590.2874133</v>
      </c>
      <c r="F195" s="9" t="n">
        <v>20.6914039388048</v>
      </c>
      <c r="G195" s="8" t="n">
        <v>22792366.6997027</v>
      </c>
      <c r="H195" s="10" t="n">
        <v>61.1951652438509</v>
      </c>
      <c r="I195" s="11" t="n">
        <v>5696517.61645195</v>
      </c>
      <c r="J195" s="12" t="n">
        <v>15.2945651255177</v>
      </c>
      <c r="K195" s="13" t="str">
        <f>=HYPERLINK("https://ucloud.univie.ac.at/index.php/f/1563063010","Open Cytogram")</f>
      </c>
      <c r="L195" s="2" t="s">
        <v>314</v>
      </c>
      <c r="M195" t="s">
        <v>314</v>
      </c>
      <c r="N195" t="s">
        <v>314</v>
      </c>
      <c r="O195" t="s">
        <v>556</v>
      </c>
    </row>
    <row r="196">
      <c r="A196" s="16" t="s">
        <v>314</v>
      </c>
      <c r="B196" s="17" t="n">
        <v>46206</v>
      </c>
      <c r="C196" s="17"/>
      <c r="D196" s="18" t="str">
        <f>IF(OR(C196="",B196=""),"",B196-C196)</f>
      </c>
      <c r="E196" s="19" t="n">
        <v>6791285.43487561</v>
      </c>
      <c r="F196" s="21" t="n">
        <v>50.695652173913</v>
      </c>
      <c r="G196" s="20" t="n">
        <v>2569738.53676425</v>
      </c>
      <c r="H196" s="22" t="n">
        <v>19.1826086956522</v>
      </c>
      <c r="I196" s="25" t="n">
        <v>3538147.10592261</v>
      </c>
      <c r="J196" s="26" t="n">
        <v>26.4115942028986</v>
      </c>
      <c r="K196" s="23" t="str">
        <f>=HYPERLINK("https://ucloud.univie.ac.at/index.php/f/1567856234","Open Cytogram")</f>
      </c>
      <c r="L196" s="14" t="s">
        <v>314</v>
      </c>
      <c r="M196" s="15" t="s">
        <v>314</v>
      </c>
      <c r="N196" s="15" t="s">
        <v>314</v>
      </c>
      <c r="O196" s="15" t="s">
        <v>558</v>
      </c>
    </row>
    <row r="197">
      <c r="A197" s="16" t="s">
        <v>613</v>
      </c>
      <c r="B197" s="17" t="n">
        <v>46195</v>
      </c>
      <c r="C197" s="17" t="n">
        <v>46184</v>
      </c>
      <c r="D197" s="18" t="str">
        <f>IF(OR(C197="",B197=""),"",B197-C197)</f>
      </c>
      <c r="E197" s="19" t="n">
        <v>3309071.39371321</v>
      </c>
      <c r="F197" s="21" t="n">
        <v>15.3627779105905</v>
      </c>
      <c r="G197" s="20" t="n">
        <v>15554115.9753122</v>
      </c>
      <c r="H197" s="22" t="n">
        <v>72.2119292373894</v>
      </c>
      <c r="I197" s="25" t="n">
        <v>2163994.94761016</v>
      </c>
      <c r="J197" s="26" t="n">
        <v>10.0466172603395</v>
      </c>
      <c r="K197" s="23" t="str">
        <f>=HYPERLINK("https://ucloud.univie.ac.at/index.php/f/1552579888","Open Cytogram")</f>
      </c>
      <c r="L197" s="14" t="s">
        <v>314</v>
      </c>
      <c r="M197" s="24" t="s">
        <v>314</v>
      </c>
      <c r="N197" s="24" t="s">
        <v>314</v>
      </c>
      <c r="O197" s="24" t="s">
        <v>571</v>
      </c>
    </row>
    <row r="198">
      <c r="A198" s="16" t="s">
        <v>614</v>
      </c>
      <c r="B198" s="17" t="n">
        <v>46195</v>
      </c>
      <c r="C198" s="17"/>
      <c r="D198" s="18" t="str">
        <f>IF(OR(C198="",B198=""),"",B198-C198)</f>
      </c>
      <c r="E198" s="19" t="n">
        <v>8347934.31635389</v>
      </c>
      <c r="F198" s="21" t="n">
        <v>33.7200870195794</v>
      </c>
      <c r="G198" s="20" t="n">
        <v>13426433.6461126</v>
      </c>
      <c r="H198" s="22" t="n">
        <v>54.2338372287611</v>
      </c>
      <c r="I198" s="25" t="n">
        <v>2277211.52815013</v>
      </c>
      <c r="J198" s="26" t="n">
        <v>9.19841579740057</v>
      </c>
      <c r="K198" s="23" t="str">
        <f>=HYPERLINK("https://ucloud.univie.ac.at/index.php/f/1556102618","Open Cytogram")</f>
      </c>
      <c r="L198" s="14" t="s">
        <v>314</v>
      </c>
      <c r="M198" s="15" t="s">
        <v>314</v>
      </c>
      <c r="N198" s="15" t="s">
        <v>314</v>
      </c>
      <c r="O198" s="15" t="s">
        <v>554</v>
      </c>
    </row>
    <row r="199">
      <c r="A199" s="16" t="s">
        <v>615</v>
      </c>
      <c r="B199" s="17" t="n">
        <v>46195</v>
      </c>
      <c r="C199" s="17" t="n">
        <v>46184</v>
      </c>
      <c r="D199" s="18" t="str">
        <f>IF(OR(C199="",B199=""),"",B199-C199)</f>
      </c>
      <c r="E199" s="19" t="n">
        <v>2452988.45651956</v>
      </c>
      <c r="F199" s="21" t="n">
        <v>12.7243858333701</v>
      </c>
      <c r="G199" s="20" t="n">
        <v>14342967.8589353</v>
      </c>
      <c r="H199" s="22" t="n">
        <v>74.4012702333172</v>
      </c>
      <c r="I199" s="25" t="n">
        <v>2078875.83230167</v>
      </c>
      <c r="J199" s="26" t="n">
        <v>10.783751598818</v>
      </c>
      <c r="K199" s="23" t="str">
        <f>=HYPERLINK("https://ucloud.univie.ac.at/index.php/f/1552579888","Open Cytogram")</f>
      </c>
      <c r="L199" s="14" t="s">
        <v>314</v>
      </c>
      <c r="M199" s="24" t="s">
        <v>314</v>
      </c>
      <c r="N199" s="24" t="s">
        <v>314</v>
      </c>
      <c r="O199" s="24" t="s">
        <v>571</v>
      </c>
    </row>
    <row r="200">
      <c r="A200" s="4" t="s">
        <v>616</v>
      </c>
      <c r="B200" s="5" t="n">
        <v>46184</v>
      </c>
      <c r="C200" s="5" t="n">
        <v>46184</v>
      </c>
      <c r="D200" s="6" t="str">
        <f>IF(OR(C200="",B200=""),"",B200-C200)</f>
      </c>
      <c r="E200" s="7" t="n">
        <v>1932016.18989436</v>
      </c>
      <c r="F200" s="9" t="n">
        <v>54.8356947923287</v>
      </c>
      <c r="G200" s="8" t="n">
        <v>439537.634693039</v>
      </c>
      <c r="H200" s="10" t="n">
        <v>12.4752327189801</v>
      </c>
      <c r="I200" s="11" t="n">
        <v>1070459.20202287</v>
      </c>
      <c r="J200" s="12" t="n">
        <v>30.3824442035216</v>
      </c>
      <c r="K200" s="13" t="str">
        <f>=HYPERLINK("https://ucloud.univie.ac.at/index.php/f/1525440666","Open Cytogram")</f>
      </c>
      <c r="L200" s="2" t="s">
        <v>314</v>
      </c>
      <c r="M200" s="3" t="s">
        <v>314</v>
      </c>
      <c r="N200" s="3" t="s">
        <v>314</v>
      </c>
      <c r="O200" s="3" t="s">
        <v>537</v>
      </c>
    </row>
    <row r="201">
      <c r="A201" s="4" t="s">
        <v>314</v>
      </c>
      <c r="B201" s="5" t="n">
        <v>46191</v>
      </c>
      <c r="C201" s="5" t="n">
        <v>46184</v>
      </c>
      <c r="D201" s="6" t="str">
        <f>IF(OR(C201="",B201=""),"",B201-C201)</f>
      </c>
      <c r="E201" s="7" t="n">
        <v>921853.966961274</v>
      </c>
      <c r="F201" s="9" t="n">
        <v>17.6332622601279</v>
      </c>
      <c r="G201" s="8" t="n">
        <v>3312134.72853398</v>
      </c>
      <c r="H201" s="10" t="n">
        <v>63.3546552949538</v>
      </c>
      <c r="I201" s="11" t="n">
        <v>828219.464875728</v>
      </c>
      <c r="J201" s="12" t="n">
        <v>15.8422174840085</v>
      </c>
      <c r="K201" s="13" t="str">
        <f>=HYPERLINK("https://ucloud.univie.ac.at/index.php/f/1527061636","Open Cytogram")</f>
      </c>
      <c r="L201" s="2" t="s">
        <v>314</v>
      </c>
      <c r="M201" t="s">
        <v>314</v>
      </c>
      <c r="N201" t="s">
        <v>314</v>
      </c>
      <c r="O201" t="s">
        <v>608</v>
      </c>
    </row>
    <row r="202">
      <c r="A202" s="4" t="s">
        <v>314</v>
      </c>
      <c r="B202" s="5" t="n">
        <v>46196</v>
      </c>
      <c r="C202" s="5" t="n">
        <v>46184</v>
      </c>
      <c r="D202" s="6" t="str">
        <f>IF(OR(C202="",B202=""),"",B202-C202)</f>
      </c>
      <c r="E202" s="7" t="n">
        <v>2029328.28418231</v>
      </c>
      <c r="F202" s="9" t="n">
        <v>16.8840121790084</v>
      </c>
      <c r="G202" s="8" t="n">
        <v>8455649.59785523</v>
      </c>
      <c r="H202" s="10" t="n">
        <v>70.3510082150859</v>
      </c>
      <c r="I202" s="11" t="n">
        <v>1173820.37533512</v>
      </c>
      <c r="J202" s="12" t="n">
        <v>9.76618601711955</v>
      </c>
      <c r="K202" s="13" t="str">
        <f>=HYPERLINK("https://ucloud.univie.ac.at/index.php/f/1556102618","Open Cytogram")</f>
      </c>
      <c r="L202" s="2" t="s">
        <v>314</v>
      </c>
      <c r="M202" s="3" t="s">
        <v>314</v>
      </c>
      <c r="N202" s="3" t="s">
        <v>314</v>
      </c>
      <c r="O202" s="3" t="s">
        <v>554</v>
      </c>
    </row>
    <row r="203">
      <c r="A203" s="4" t="s">
        <v>314</v>
      </c>
      <c r="B203" s="5" t="n">
        <v>46197</v>
      </c>
      <c r="C203" s="5"/>
      <c r="D203" s="6" t="str">
        <f>IF(OR(C203="",B203=""),"",B203-C203)</f>
      </c>
      <c r="E203" s="7" t="n">
        <v>1267037.8890921</v>
      </c>
      <c r="F203" s="9" t="n">
        <v>6.46557679023716</v>
      </c>
      <c r="G203" s="8" t="n">
        <v>16383955.0402187</v>
      </c>
      <c r="H203" s="10" t="n">
        <v>83.6058024407092</v>
      </c>
      <c r="I203" s="11" t="n">
        <v>1723676.90040307</v>
      </c>
      <c r="J203" s="12" t="n">
        <v>8.79576329725996</v>
      </c>
      <c r="K203" s="13" t="str">
        <f>=HYPERLINK("https://ucloud.univie.ac.at/index.php/f/1563063010","Open Cytogram")</f>
      </c>
      <c r="L203" s="2" t="s">
        <v>314</v>
      </c>
      <c r="M203" t="s">
        <v>314</v>
      </c>
      <c r="N203" t="s">
        <v>314</v>
      </c>
      <c r="O203" t="s">
        <v>556</v>
      </c>
    </row>
    <row r="204">
      <c r="A204" s="4" t="s">
        <v>314</v>
      </c>
      <c r="B204" s="5" t="n">
        <v>46199</v>
      </c>
      <c r="C204" s="5"/>
      <c r="D204" s="6" t="str">
        <f>IF(OR(C204="",B204=""),"",B204-C204)</f>
      </c>
      <c r="E204" s="7" t="n">
        <v>2419414.89883114</v>
      </c>
      <c r="F204" s="9" t="n">
        <v>40.716049382716</v>
      </c>
      <c r="G204" s="8" t="n">
        <v>1897580.31280873</v>
      </c>
      <c r="H204" s="10" t="n">
        <v>31.9341563786008</v>
      </c>
      <c r="I204" s="11" t="n">
        <v>1299940.32769217</v>
      </c>
      <c r="J204" s="12" t="n">
        <v>21.8765432098765</v>
      </c>
      <c r="K204" s="13" t="str">
        <f>=HYPERLINK("https://ucloud.univie.ac.at/index.php/f/1567856234","Open Cytogram")</f>
      </c>
      <c r="L204" s="2" t="s">
        <v>314</v>
      </c>
      <c r="M204" s="3" t="s">
        <v>314</v>
      </c>
      <c r="N204" s="3" t="s">
        <v>314</v>
      </c>
      <c r="O204" s="3" t="s">
        <v>558</v>
      </c>
    </row>
    <row r="205">
      <c r="A205" s="4" t="s">
        <v>314</v>
      </c>
      <c r="B205" s="5" t="n">
        <v>46203</v>
      </c>
      <c r="C205" s="5"/>
      <c r="D205" s="6" t="str">
        <f>IF(OR(C205="",B205=""),"",B205-C205)</f>
      </c>
      <c r="E205" s="7" t="n">
        <v>5068076.43027832</v>
      </c>
      <c r="F205" s="9" t="n">
        <v>20.9501924195022</v>
      </c>
      <c r="G205" s="8" t="n">
        <v>17394345.5756255</v>
      </c>
      <c r="H205" s="10" t="n">
        <v>71.9039840527146</v>
      </c>
      <c r="I205" s="11" t="n">
        <v>1290628.15926342</v>
      </c>
      <c r="J205" s="12" t="n">
        <v>5.33514216894155</v>
      </c>
      <c r="K205" s="13" t="str">
        <f>=HYPERLINK("https://ucloud.univie.ac.at/index.php/f/1563063010","Open Cytogram")</f>
      </c>
      <c r="L205" s="2" t="s">
        <v>314</v>
      </c>
      <c r="M205" t="s">
        <v>314</v>
      </c>
      <c r="N205" t="s">
        <v>314</v>
      </c>
      <c r="O205" t="s">
        <v>556</v>
      </c>
    </row>
    <row r="206">
      <c r="A206" s="4" t="s">
        <v>314</v>
      </c>
      <c r="B206" s="5" t="n">
        <v>46209</v>
      </c>
      <c r="C206" s="5"/>
      <c r="D206" s="6" t="str">
        <f>IF(OR(C206="",B206=""),"",B206-C206)</f>
      </c>
      <c r="E206" s="7" t="n">
        <v>4618732.13416906</v>
      </c>
      <c r="F206" s="9" t="n">
        <v>24.3378192020543</v>
      </c>
      <c r="G206" s="8" t="n">
        <v>12921259.6125503</v>
      </c>
      <c r="H206" s="10" t="n">
        <v>68.0869275762043</v>
      </c>
      <c r="I206" s="11" t="n">
        <v>1000815.54060053</v>
      </c>
      <c r="J206" s="12" t="n">
        <v>5.27366969423178</v>
      </c>
      <c r="K206" s="13" t="str">
        <f>=HYPERLINK("https://ucloud.univie.ac.at/index.php/f/1563063010","Open Cytogram")</f>
      </c>
      <c r="L206" s="2" t="s">
        <v>314</v>
      </c>
      <c r="M206" s="3" t="s">
        <v>314</v>
      </c>
      <c r="N206" s="3" t="s">
        <v>314</v>
      </c>
      <c r="O206" s="3" t="s">
        <v>556</v>
      </c>
    </row>
    <row r="207">
      <c r="A207" s="4" t="s">
        <v>314</v>
      </c>
      <c r="B207" s="5" t="n">
        <v>46216</v>
      </c>
      <c r="C207" s="5"/>
      <c r="D207" s="6" t="str">
        <f>IF(OR(C207="",B207=""),"",B207-C207)</f>
      </c>
      <c r="E207" s="7" t="n">
        <v>6308826.3627354</v>
      </c>
      <c r="F207" s="9" t="n">
        <v>19.8829248933426</v>
      </c>
      <c r="G207" s="8" t="n">
        <v>18932775.3221011</v>
      </c>
      <c r="H207" s="10" t="n">
        <v>59.6686179184443</v>
      </c>
      <c r="I207" s="11" t="n">
        <v>5315595.46580774</v>
      </c>
      <c r="J207" s="12" t="n">
        <v>16.7526540331382</v>
      </c>
      <c r="K207" s="13" t="str">
        <f>=HYPERLINK("https://ucloud.univie.ac.at/index.php/f/1563063010","Open Cytogram")</f>
      </c>
      <c r="L207" s="2" t="s">
        <v>314</v>
      </c>
      <c r="M207" t="s">
        <v>314</v>
      </c>
      <c r="N207" t="s">
        <v>314</v>
      </c>
      <c r="O207" t="s">
        <v>556</v>
      </c>
    </row>
    <row r="208">
      <c r="A208" s="16" t="s">
        <v>314</v>
      </c>
      <c r="B208" s="17" t="n">
        <v>46206</v>
      </c>
      <c r="C208" s="17"/>
      <c r="D208" s="18" t="str">
        <f>IF(OR(C208="",B208=""),"",B208-C208)</f>
      </c>
      <c r="E208" s="19" t="n">
        <v>6329393.33973642</v>
      </c>
      <c r="F208" s="21" t="n">
        <v>48.3916854035699</v>
      </c>
      <c r="G208" s="20" t="n">
        <v>2751179.50591236</v>
      </c>
      <c r="H208" s="22" t="n">
        <v>21.0342770614417</v>
      </c>
      <c r="I208" s="25" t="n">
        <v>3424570.30120766</v>
      </c>
      <c r="J208" s="26" t="n">
        <v>26.1827192217685</v>
      </c>
      <c r="K208" s="23" t="str">
        <f>=HYPERLINK("https://ucloud.univie.ac.at/index.php/f/1567856234","Open Cytogram")</f>
      </c>
      <c r="L208" s="14" t="s">
        <v>314</v>
      </c>
      <c r="M208" s="15" t="s">
        <v>314</v>
      </c>
      <c r="N208" s="15" t="s">
        <v>314</v>
      </c>
      <c r="O208" s="15" t="s">
        <v>558</v>
      </c>
    </row>
    <row r="209">
      <c r="A209" s="16" t="s">
        <v>617</v>
      </c>
      <c r="B209" s="17" t="n">
        <v>46195</v>
      </c>
      <c r="C209" s="17" t="n">
        <v>46184</v>
      </c>
      <c r="D209" s="18" t="str">
        <f>IF(OR(C209="",B209=""),"",B209-C209)</f>
      </c>
      <c r="E209" s="19" t="n">
        <v>1299555.56193483</v>
      </c>
      <c r="F209" s="21" t="n">
        <v>7.3482311835784</v>
      </c>
      <c r="G209" s="20" t="n">
        <v>14275801.2918042</v>
      </c>
      <c r="H209" s="22" t="n">
        <v>80.7213568204979</v>
      </c>
      <c r="I209" s="25" t="n">
        <v>1628467.34605999</v>
      </c>
      <c r="J209" s="26" t="n">
        <v>9.20803610423643</v>
      </c>
      <c r="K209" s="23" t="str">
        <f>=HYPERLINK("https://ucloud.univie.ac.at/index.php/f/1552579888","Open Cytogram")</f>
      </c>
      <c r="L209" s="14" t="s">
        <v>314</v>
      </c>
      <c r="M209" s="24" t="s">
        <v>314</v>
      </c>
      <c r="N209" s="24" t="s">
        <v>314</v>
      </c>
      <c r="O209" s="24" t="s">
        <v>571</v>
      </c>
    </row>
    <row r="210">
      <c r="A210" s="16" t="s">
        <v>618</v>
      </c>
      <c r="B210" s="17" t="n">
        <v>46195</v>
      </c>
      <c r="C210" s="17"/>
      <c r="D210" s="18" t="str">
        <f>IF(OR(C210="",B210=""),"",B210-C210)</f>
      </c>
      <c r="E210" s="19" t="n">
        <v>7549045.97855228</v>
      </c>
      <c r="F210" s="21" t="n">
        <v>29.9501424501425</v>
      </c>
      <c r="G210" s="20" t="n">
        <v>15203735.7908847</v>
      </c>
      <c r="H210" s="22" t="n">
        <v>60.3194170501863</v>
      </c>
      <c r="I210" s="25" t="n">
        <v>1822183.51206434</v>
      </c>
      <c r="J210" s="26" t="n">
        <v>7.22934472934473</v>
      </c>
      <c r="K210" s="23" t="str">
        <f>=HYPERLINK("https://ucloud.univie.ac.at/index.php/f/1556102618","Open Cytogram")</f>
      </c>
      <c r="L210" s="14" t="s">
        <v>314</v>
      </c>
      <c r="M210" s="15" t="s">
        <v>314</v>
      </c>
      <c r="N210" s="15" t="s">
        <v>314</v>
      </c>
      <c r="O210" s="15" t="s">
        <v>554</v>
      </c>
    </row>
    <row r="211">
      <c r="A211" s="16" t="s">
        <v>619</v>
      </c>
      <c r="B211" s="17" t="n">
        <v>46195</v>
      </c>
      <c r="C211" s="17" t="n">
        <v>46184</v>
      </c>
      <c r="D211" s="18" t="str">
        <f>IF(OR(C211="",B211=""),"",B211-C211)</f>
      </c>
      <c r="E211" s="19" t="n">
        <v>2079031.43390268</v>
      </c>
      <c r="F211" s="21" t="n">
        <v>13.8936682725396</v>
      </c>
      <c r="G211" s="20" t="n">
        <v>10624944.8543132</v>
      </c>
      <c r="H211" s="22" t="n">
        <v>71.0039573296628</v>
      </c>
      <c r="I211" s="25" t="n">
        <v>1945149.53351514</v>
      </c>
      <c r="J211" s="26" t="n">
        <v>12.9989676531315</v>
      </c>
      <c r="K211" s="23" t="str">
        <f>=HYPERLINK("https://ucloud.univie.ac.at/index.php/f/1552579888","Open Cytogram")</f>
      </c>
      <c r="L211" s="14" t="s">
        <v>314</v>
      </c>
      <c r="M211" s="24" t="s">
        <v>314</v>
      </c>
      <c r="N211" s="24" t="s">
        <v>314</v>
      </c>
      <c r="O211" s="24" t="s">
        <v>571</v>
      </c>
    </row>
    <row r="212">
      <c r="A212" s="4" t="s">
        <v>620</v>
      </c>
      <c r="B212" s="5" t="n">
        <v>46184</v>
      </c>
      <c r="C212" s="5" t="n">
        <v>46184</v>
      </c>
      <c r="D212" s="6" t="str">
        <f>IF(OR(C212="",B212=""),"",B212-C212)</f>
      </c>
      <c r="E212" s="7" t="n">
        <v>923068.547776091</v>
      </c>
      <c r="F212" s="9" t="n">
        <v>51.4764213309828</v>
      </c>
      <c r="G212" s="8" t="n">
        <v>202316.394033116</v>
      </c>
      <c r="H212" s="10" t="n">
        <v>11.2825033054209</v>
      </c>
      <c r="I212" s="11" t="n">
        <v>591143.21381551</v>
      </c>
      <c r="J212" s="12" t="n">
        <v>32.9660643455267</v>
      </c>
      <c r="K212" s="13" t="str">
        <f>=HYPERLINK("https://ucloud.univie.ac.at/index.php/f/1525440666","Open Cytogram")</f>
      </c>
      <c r="L212" s="2" t="s">
        <v>314</v>
      </c>
      <c r="M212" s="3" t="s">
        <v>314</v>
      </c>
      <c r="N212" s="3" t="s">
        <v>314</v>
      </c>
      <c r="O212" s="3" t="s">
        <v>537</v>
      </c>
    </row>
    <row r="213">
      <c r="A213" s="4" t="s">
        <v>314</v>
      </c>
      <c r="B213" s="5" t="n">
        <v>46191</v>
      </c>
      <c r="C213" s="5" t="n">
        <v>46184</v>
      </c>
      <c r="D213" s="6" t="str">
        <f>IF(OR(C213="",B213=""),"",B213-C213)</f>
      </c>
      <c r="E213" s="7" t="n">
        <v>3235963.80421835</v>
      </c>
      <c r="F213" s="9" t="n">
        <v>17.9882267892182</v>
      </c>
      <c r="G213" s="8" t="n">
        <v>13323595.1419981</v>
      </c>
      <c r="H213" s="10" t="n">
        <v>74.0638231952907</v>
      </c>
      <c r="I213" s="11" t="n">
        <v>989850.450618635</v>
      </c>
      <c r="J213" s="12" t="n">
        <v>5.50242693380151</v>
      </c>
      <c r="K213" s="13" t="str">
        <f>=HYPERLINK("https://ucloud.univie.ac.at/index.php/f/1527061636","Open Cytogram")</f>
      </c>
      <c r="L213" s="2" t="s">
        <v>314</v>
      </c>
      <c r="M213" t="s">
        <v>314</v>
      </c>
      <c r="N213" t="s">
        <v>314</v>
      </c>
      <c r="O213" t="s">
        <v>608</v>
      </c>
    </row>
    <row r="214">
      <c r="A214" s="4" t="s">
        <v>314</v>
      </c>
      <c r="B214" s="5" t="n">
        <v>46196</v>
      </c>
      <c r="C214" s="5" t="n">
        <v>46184</v>
      </c>
      <c r="D214" s="6" t="str">
        <f>IF(OR(C214="",B214=""),"",B214-C214)</f>
      </c>
      <c r="E214" s="7" t="n">
        <v>4236110.58981233</v>
      </c>
      <c r="F214" s="9" t="n">
        <v>19.5925015169418</v>
      </c>
      <c r="G214" s="8" t="n">
        <v>15777526.8096515</v>
      </c>
      <c r="H214" s="10" t="n">
        <v>72.9728866604924</v>
      </c>
      <c r="I214" s="11" t="n">
        <v>1060581.23324397</v>
      </c>
      <c r="J214" s="12" t="n">
        <v>4.90531089323923</v>
      </c>
      <c r="K214" s="13" t="str">
        <f>=HYPERLINK("https://ucloud.univie.ac.at/index.php/f/1556102618","Open Cytogram")</f>
      </c>
      <c r="L214" s="2" t="s">
        <v>314</v>
      </c>
      <c r="M214" s="3" t="s">
        <v>314</v>
      </c>
      <c r="N214" s="3" t="s">
        <v>314</v>
      </c>
      <c r="O214" s="3" t="s">
        <v>554</v>
      </c>
    </row>
    <row r="215">
      <c r="A215" s="4" t="s">
        <v>314</v>
      </c>
      <c r="B215" s="5" t="n">
        <v>46197</v>
      </c>
      <c r="C215" s="5"/>
      <c r="D215" s="6" t="str">
        <f>IF(OR(C215="",B215=""),"",B215-C215)</f>
      </c>
      <c r="E215" s="7" t="n">
        <v>2338803.07843688</v>
      </c>
      <c r="F215" s="9" t="n">
        <v>8.47408270238788</v>
      </c>
      <c r="G215" s="8" t="n">
        <v>21834856.5750632</v>
      </c>
      <c r="H215" s="10" t="n">
        <v>79.1132789749563</v>
      </c>
      <c r="I215" s="11" t="n">
        <v>3023298.1374754</v>
      </c>
      <c r="J215" s="12" t="n">
        <v>10.9541836536595</v>
      </c>
      <c r="K215" s="13" t="str">
        <f>=HYPERLINK("https://ucloud.univie.ac.at/index.php/f/1563063010","Open Cytogram")</f>
      </c>
      <c r="L215" s="2" t="s">
        <v>314</v>
      </c>
      <c r="M215" t="s">
        <v>314</v>
      </c>
      <c r="N215" t="s">
        <v>314</v>
      </c>
      <c r="O215" t="s">
        <v>556</v>
      </c>
    </row>
    <row r="216">
      <c r="A216" s="4" t="s">
        <v>314</v>
      </c>
      <c r="B216" s="5" t="n">
        <v>46199</v>
      </c>
      <c r="C216" s="5"/>
      <c r="D216" s="6" t="str">
        <f>IF(OR(C216="",B216=""),"",B216-C216)</f>
      </c>
      <c r="E216" s="7" t="n">
        <v>11358818.3527263</v>
      </c>
      <c r="F216" s="9" t="n">
        <v>44.58106612018</v>
      </c>
      <c r="G216" s="8" t="n">
        <v>8667655.85174221</v>
      </c>
      <c r="H216" s="10" t="n">
        <v>34.0187972581443</v>
      </c>
      <c r="I216" s="11" t="n">
        <v>4215594.42616239</v>
      </c>
      <c r="J216" s="12" t="n">
        <v>16.5453560407981</v>
      </c>
      <c r="K216" s="13" t="str">
        <f>=HYPERLINK("https://ucloud.univie.ac.at/index.php/f/1567856234","Open Cytogram")</f>
      </c>
      <c r="L216" s="2" t="s">
        <v>314</v>
      </c>
      <c r="M216" s="3" t="s">
        <v>314</v>
      </c>
      <c r="N216" s="3" t="s">
        <v>314</v>
      </c>
      <c r="O216" s="3" t="s">
        <v>558</v>
      </c>
    </row>
    <row r="217">
      <c r="A217" s="4" t="s">
        <v>314</v>
      </c>
      <c r="B217" s="5" t="n">
        <v>46203</v>
      </c>
      <c r="C217" s="5"/>
      <c r="D217" s="6" t="str">
        <f>IF(OR(C217="",B217=""),"",B217-C217)</f>
      </c>
      <c r="E217" s="7" t="n">
        <v>6994976.90469496</v>
      </c>
      <c r="F217" s="9" t="n">
        <v>29.8749964243829</v>
      </c>
      <c r="G217" s="8" t="n">
        <v>13946419.3878268</v>
      </c>
      <c r="H217" s="10" t="n">
        <v>59.5640607568866</v>
      </c>
      <c r="I217" s="11" t="n">
        <v>1474812.25049199</v>
      </c>
      <c r="J217" s="12" t="n">
        <v>6.29880717411825</v>
      </c>
      <c r="K217" s="13" t="str">
        <f>=HYPERLINK("https://ucloud.univie.ac.at/index.php/f/1563063010","Open Cytogram")</f>
      </c>
      <c r="L217" s="2" t="s">
        <v>314</v>
      </c>
      <c r="M217" t="s">
        <v>314</v>
      </c>
      <c r="N217" t="s">
        <v>314</v>
      </c>
      <c r="O217" t="s">
        <v>556</v>
      </c>
    </row>
    <row r="218">
      <c r="A218" s="4" t="s">
        <v>314</v>
      </c>
      <c r="B218" s="5" t="n">
        <v>46209</v>
      </c>
      <c r="C218" s="5"/>
      <c r="D218" s="6" t="str">
        <f>IF(OR(C218="",B218=""),"",B218-C218)</f>
      </c>
      <c r="E218" s="7" t="n">
        <v>12992278.6422201</v>
      </c>
      <c r="F218" s="9" t="n">
        <v>35.6698357821953</v>
      </c>
      <c r="G218" s="8" t="n">
        <v>16730667.5173439</v>
      </c>
      <c r="H218" s="10" t="n">
        <v>45.933448573898</v>
      </c>
      <c r="I218" s="11" t="n">
        <v>4286161.22398415</v>
      </c>
      <c r="J218" s="12" t="n">
        <v>11.7675021607606</v>
      </c>
      <c r="K218" s="13" t="str">
        <f>=HYPERLINK("https://ucloud.univie.ac.at/index.php/f/1563063010","Open Cytogram")</f>
      </c>
      <c r="L218" s="2" t="s">
        <v>314</v>
      </c>
      <c r="M218" s="3" t="s">
        <v>314</v>
      </c>
      <c r="N218" s="3" t="s">
        <v>314</v>
      </c>
      <c r="O218" s="3" t="s">
        <v>556</v>
      </c>
    </row>
    <row r="219">
      <c r="A219" s="4" t="s">
        <v>314</v>
      </c>
      <c r="B219" s="5" t="n">
        <v>46216</v>
      </c>
      <c r="C219" s="5"/>
      <c r="D219" s="6" t="str">
        <f>IF(OR(C219="",B219=""),"",B219-C219)</f>
      </c>
      <c r="E219" s="7" t="n">
        <v>7841959.31615463</v>
      </c>
      <c r="F219" s="9" t="n">
        <v>24.2882215288612</v>
      </c>
      <c r="G219" s="8" t="n">
        <v>17752231.4667989</v>
      </c>
      <c r="H219" s="10" t="n">
        <v>54.9824492979719</v>
      </c>
      <c r="I219" s="11" t="n">
        <v>5348650.69375621</v>
      </c>
      <c r="J219" s="12" t="n">
        <v>16.5659126365055</v>
      </c>
      <c r="K219" s="13" t="str">
        <f>=HYPERLINK("https://ucloud.univie.ac.at/index.php/f/1563063010","Open Cytogram")</f>
      </c>
      <c r="L219" s="2" t="s">
        <v>314</v>
      </c>
      <c r="M219" t="s">
        <v>314</v>
      </c>
      <c r="N219" t="s">
        <v>314</v>
      </c>
      <c r="O219" t="s">
        <v>556</v>
      </c>
    </row>
    <row r="220">
      <c r="A220" s="16" t="s">
        <v>314</v>
      </c>
      <c r="B220" s="17" t="n">
        <v>46206</v>
      </c>
      <c r="C220" s="17"/>
      <c r="D220" s="18" t="str">
        <f>IF(OR(C220="",B220=""),"",B220-C220)</f>
      </c>
      <c r="E220" s="19" t="n">
        <v>10547388.4460959</v>
      </c>
      <c r="F220" s="21" t="n">
        <v>49.082530372853</v>
      </c>
      <c r="G220" s="20" t="n">
        <v>1616858.11276787</v>
      </c>
      <c r="H220" s="22" t="n">
        <v>7.5240888144114</v>
      </c>
      <c r="I220" s="25" t="n">
        <v>8143107.22866904</v>
      </c>
      <c r="J220" s="26" t="n">
        <v>37.8941488618908</v>
      </c>
      <c r="K220" s="23" t="str">
        <f>=HYPERLINK("https://ucloud.univie.ac.at/index.php/f/1567856234","Open Cytogram")</f>
      </c>
      <c r="L220" s="14" t="s">
        <v>314</v>
      </c>
      <c r="M220" s="15" t="s">
        <v>314</v>
      </c>
      <c r="N220" s="15" t="s">
        <v>314</v>
      </c>
      <c r="O220" s="15" t="s">
        <v>558</v>
      </c>
    </row>
    <row r="221">
      <c r="A221" s="16" t="s">
        <v>621</v>
      </c>
      <c r="B221" s="17" t="n">
        <v>46195</v>
      </c>
      <c r="C221" s="17" t="n">
        <v>46184</v>
      </c>
      <c r="D221" s="18" t="str">
        <f>IF(OR(C221="",B221=""),"",B221-C221)</f>
      </c>
      <c r="E221" s="19" t="n">
        <v>2031484.95350401</v>
      </c>
      <c r="F221" s="21" t="n">
        <v>20.0091808630011</v>
      </c>
      <c r="G221" s="20" t="n">
        <v>6189737.35641943</v>
      </c>
      <c r="H221" s="22" t="n">
        <v>60.9660308068958</v>
      </c>
      <c r="I221" s="25" t="n">
        <v>1752369.38125352</v>
      </c>
      <c r="J221" s="26" t="n">
        <v>17.2600224421096</v>
      </c>
      <c r="K221" s="23" t="str">
        <f>=HYPERLINK("https://ucloud.univie.ac.at/index.php/f/1552579888","Open Cytogram")</f>
      </c>
      <c r="L221" s="14" t="s">
        <v>314</v>
      </c>
      <c r="M221" s="24" t="s">
        <v>314</v>
      </c>
      <c r="N221" s="24" t="s">
        <v>314</v>
      </c>
      <c r="O221" s="24" t="s">
        <v>571</v>
      </c>
    </row>
    <row r="222">
      <c r="A222" s="16" t="s">
        <v>622</v>
      </c>
      <c r="B222" s="17" t="n">
        <v>46195</v>
      </c>
      <c r="C222" s="17" t="n">
        <v>46184</v>
      </c>
      <c r="D222" s="18" t="str">
        <f>IF(OR(C222="",B222=""),"",B222-C222)</f>
      </c>
      <c r="E222" s="19" t="n">
        <v>1697982.94818429</v>
      </c>
      <c r="F222" s="21" t="n">
        <v>6.94502948609941</v>
      </c>
      <c r="G222" s="20" t="n">
        <v>19505563.0256925</v>
      </c>
      <c r="H222" s="22" t="n">
        <v>79.7809604043808</v>
      </c>
      <c r="I222" s="25" t="n">
        <v>2608122.40562652</v>
      </c>
      <c r="J222" s="26" t="n">
        <v>10.667649536647</v>
      </c>
      <c r="K222" s="23" t="str">
        <f>=HYPERLINK("https://ucloud.univie.ac.at/index.php/f/1552579888","Open Cytogram")</f>
      </c>
      <c r="L222" s="14" t="s">
        <v>314</v>
      </c>
      <c r="M222" s="15" t="s">
        <v>314</v>
      </c>
      <c r="N222" s="15" t="s">
        <v>314</v>
      </c>
      <c r="O222" s="15" t="s">
        <v>571</v>
      </c>
    </row>
    <row r="223">
      <c r="A223" s="16" t="s">
        <v>623</v>
      </c>
      <c r="B223" s="17" t="n">
        <v>46195</v>
      </c>
      <c r="C223" s="17"/>
      <c r="D223" s="18" t="str">
        <f>IF(OR(C223="",B223=""),"",B223-C223)</f>
      </c>
      <c r="E223" s="19" t="n">
        <v>9444420.64343164</v>
      </c>
      <c r="F223" s="21" t="n">
        <v>33.8497327261928</v>
      </c>
      <c r="G223" s="20" t="n">
        <v>15409499.5978552</v>
      </c>
      <c r="H223" s="22" t="n">
        <v>55.2291625420709</v>
      </c>
      <c r="I223" s="25" t="n">
        <v>2612786.05898123</v>
      </c>
      <c r="J223" s="26" t="n">
        <v>9.36448228073649</v>
      </c>
      <c r="K223" s="23" t="str">
        <f>=HYPERLINK("https://ucloud.univie.ac.at/index.php/f/1556102618","Open Cytogram")</f>
      </c>
      <c r="L223" s="14" t="s">
        <v>314</v>
      </c>
      <c r="M223" s="24" t="s">
        <v>314</v>
      </c>
      <c r="N223" s="24" t="s">
        <v>314</v>
      </c>
      <c r="O223" s="24" t="s">
        <v>554</v>
      </c>
    </row>
    <row r="224">
      <c r="A224" s="16" t="s">
        <v>624</v>
      </c>
      <c r="B224" s="17" t="n">
        <v>46195</v>
      </c>
      <c r="C224" s="17" t="n">
        <v>46184</v>
      </c>
      <c r="D224" s="18" t="str">
        <f>IF(OR(C224="",B224=""),"",B224-C224)</f>
      </c>
      <c r="E224" s="19" t="n">
        <v>1578375.25829218</v>
      </c>
      <c r="F224" s="21" t="n">
        <v>17.1399651352415</v>
      </c>
      <c r="G224" s="20" t="n">
        <v>5408835.16170007</v>
      </c>
      <c r="H224" s="22" t="n">
        <v>58.7358713377945</v>
      </c>
      <c r="I224" s="25" t="n">
        <v>1992129.13997704</v>
      </c>
      <c r="J224" s="26" t="n">
        <v>21.6330203002868</v>
      </c>
      <c r="K224" s="23" t="str">
        <f>=HYPERLINK("https://ucloud.univie.ac.at/index.php/f/1552579888","Open Cytogram")</f>
      </c>
      <c r="L224" s="14" t="s">
        <v>314</v>
      </c>
      <c r="M224" s="15" t="s">
        <v>314</v>
      </c>
      <c r="N224" s="15" t="s">
        <v>314</v>
      </c>
      <c r="O224" s="15" t="s">
        <v>571</v>
      </c>
    </row>
    <row r="225">
      <c r="A225" s="4" t="s">
        <v>625</v>
      </c>
      <c r="B225" s="5" t="n">
        <v>46184</v>
      </c>
      <c r="C225" s="5" t="n">
        <v>46184</v>
      </c>
      <c r="D225" s="6" t="str">
        <f>IF(OR(C225="",B225=""),"",B225-C225)</f>
      </c>
      <c r="E225" s="7" t="n">
        <v>2157119.52153668</v>
      </c>
      <c r="F225" s="9" t="n">
        <v>55.3651115618661</v>
      </c>
      <c r="G225" s="8" t="n">
        <v>542803.294147442</v>
      </c>
      <c r="H225" s="10" t="n">
        <v>13.9317106152806</v>
      </c>
      <c r="I225" s="11" t="n">
        <v>1080074.49939554</v>
      </c>
      <c r="J225" s="12" t="n">
        <v>27.7214334009466</v>
      </c>
      <c r="K225" s="13" t="str">
        <f>=HYPERLINK("https://ucloud.univie.ac.at/index.php/f/1525440666","Open Cytogram")</f>
      </c>
      <c r="L225" s="2" t="s">
        <v>314</v>
      </c>
      <c r="M225" t="s">
        <v>314</v>
      </c>
      <c r="N225" t="s">
        <v>314</v>
      </c>
      <c r="O225" t="s">
        <v>537</v>
      </c>
    </row>
    <row r="226">
      <c r="A226" s="4" t="s">
        <v>314</v>
      </c>
      <c r="B226" s="5" t="n">
        <v>46191</v>
      </c>
      <c r="C226" s="5" t="n">
        <v>46184</v>
      </c>
      <c r="D226" s="6" t="str">
        <f>IF(OR(C226="",B226=""),"",B226-C226)</f>
      </c>
      <c r="E226" s="7" t="n">
        <v>1997164.47900719</v>
      </c>
      <c r="F226" s="9" t="n">
        <v>13.6303697317036</v>
      </c>
      <c r="G226" s="8" t="n">
        <v>11530420.113963</v>
      </c>
      <c r="H226" s="10" t="n">
        <v>78.6935132119491</v>
      </c>
      <c r="I226" s="11" t="n">
        <v>840481.125863121</v>
      </c>
      <c r="J226" s="12" t="n">
        <v>5.73616675964903</v>
      </c>
      <c r="K226" s="13" t="str">
        <f>=HYPERLINK("https://ucloud.univie.ac.at/index.php/f/1527061636","Open Cytogram")</f>
      </c>
      <c r="L226" s="2" t="s">
        <v>314</v>
      </c>
      <c r="M226" s="3" t="s">
        <v>314</v>
      </c>
      <c r="N226" s="3" t="s">
        <v>314</v>
      </c>
      <c r="O226" s="3" t="s">
        <v>608</v>
      </c>
    </row>
    <row r="227">
      <c r="A227" s="4" t="s">
        <v>314</v>
      </c>
      <c r="B227" s="5" t="n">
        <v>46196</v>
      </c>
      <c r="C227" s="5" t="n">
        <v>46184</v>
      </c>
      <c r="D227" s="6" t="str">
        <f>IF(OR(C227="",B227=""),"",B227-C227)</f>
      </c>
      <c r="E227" s="7" t="n">
        <v>3924702.94906166</v>
      </c>
      <c r="F227" s="9" t="n">
        <v>18.5369989890096</v>
      </c>
      <c r="G227" s="8" t="n">
        <v>15761645.7104558</v>
      </c>
      <c r="H227" s="10" t="n">
        <v>74.4447705703943</v>
      </c>
      <c r="I227" s="11" t="n">
        <v>1003271.17962466</v>
      </c>
      <c r="J227" s="12" t="n">
        <v>4.73861005120177</v>
      </c>
      <c r="K227" s="13" t="str">
        <f>=HYPERLINK("https://ucloud.univie.ac.at/index.php/f/1556102618","Open Cytogram")</f>
      </c>
      <c r="L227" s="2" t="s">
        <v>314</v>
      </c>
      <c r="M227" t="s">
        <v>314</v>
      </c>
      <c r="N227" t="s">
        <v>314</v>
      </c>
      <c r="O227" t="s">
        <v>554</v>
      </c>
    </row>
    <row r="228">
      <c r="A228" s="4" t="s">
        <v>314</v>
      </c>
      <c r="B228" s="5" t="n">
        <v>46197</v>
      </c>
      <c r="C228" s="5"/>
      <c r="D228" s="6" t="str">
        <f>IF(OR(C228="",B228=""),"",B228-C228)</f>
      </c>
      <c r="E228" s="7" t="n">
        <v>2038080.68948552</v>
      </c>
      <c r="F228" s="9" t="n">
        <v>8.41816974659732</v>
      </c>
      <c r="G228" s="8" t="n">
        <v>19062048.8016587</v>
      </c>
      <c r="H228" s="10" t="n">
        <v>78.7346464534691</v>
      </c>
      <c r="I228" s="11" t="n">
        <v>2747356.88079842</v>
      </c>
      <c r="J228" s="12" t="n">
        <v>11.3477924089853</v>
      </c>
      <c r="K228" s="13" t="str">
        <f>=HYPERLINK("https://ucloud.univie.ac.at/index.php/f/1563063010","Open Cytogram")</f>
      </c>
      <c r="L228" s="2" t="s">
        <v>314</v>
      </c>
      <c r="M228" s="3" t="s">
        <v>314</v>
      </c>
      <c r="N228" s="3" t="s">
        <v>314</v>
      </c>
      <c r="O228" s="3" t="s">
        <v>556</v>
      </c>
    </row>
    <row r="229">
      <c r="A229" s="4" t="s">
        <v>314</v>
      </c>
      <c r="B229" s="5" t="n">
        <v>46199</v>
      </c>
      <c r="C229" s="5"/>
      <c r="D229" s="6" t="str">
        <f>IF(OR(C229="",B229=""),"",B229-C229)</f>
      </c>
      <c r="E229" s="7" t="n">
        <v>11076738.4295634</v>
      </c>
      <c r="F229" s="9" t="n">
        <v>52.6036767849508</v>
      </c>
      <c r="G229" s="8" t="n">
        <v>5512561.90266253</v>
      </c>
      <c r="H229" s="10" t="n">
        <v>26.1792788941143</v>
      </c>
      <c r="I229" s="11" t="n">
        <v>3444976.08288328</v>
      </c>
      <c r="J229" s="12" t="n">
        <v>16.3602679207639</v>
      </c>
      <c r="K229" s="13" t="str">
        <f>=HYPERLINK("https://ucloud.univie.ac.at/index.php/f/1567856234","Open Cytogram")</f>
      </c>
      <c r="L229" s="2" t="s">
        <v>314</v>
      </c>
      <c r="M229" t="s">
        <v>314</v>
      </c>
      <c r="N229" t="s">
        <v>314</v>
      </c>
      <c r="O229" t="s">
        <v>558</v>
      </c>
    </row>
    <row r="230">
      <c r="A230" s="4" t="s">
        <v>314</v>
      </c>
      <c r="B230" s="5" t="n">
        <v>46203</v>
      </c>
      <c r="C230" s="5"/>
      <c r="D230" s="6" t="str">
        <f>IF(OR(C230="",B230=""),"",B230-C230)</f>
      </c>
      <c r="E230" s="7" t="n">
        <v>5406149.39600831</v>
      </c>
      <c r="F230" s="9" t="n">
        <v>28.3484573502722</v>
      </c>
      <c r="G230" s="8" t="n">
        <v>11978936.5667289</v>
      </c>
      <c r="H230" s="10" t="n">
        <v>62.8144632137373</v>
      </c>
      <c r="I230" s="11" t="n">
        <v>959507.654053676</v>
      </c>
      <c r="J230" s="12" t="n">
        <v>5.03141141979617</v>
      </c>
      <c r="K230" s="13" t="str">
        <f>=HYPERLINK("https://ucloud.univie.ac.at/index.php/f/1563063010","Open Cytogram")</f>
      </c>
      <c r="L230" s="2" t="s">
        <v>314</v>
      </c>
      <c r="M230" s="3" t="s">
        <v>314</v>
      </c>
      <c r="N230" s="3" t="s">
        <v>314</v>
      </c>
      <c r="O230" s="3" t="s">
        <v>556</v>
      </c>
    </row>
    <row r="231">
      <c r="A231" s="4" t="s">
        <v>314</v>
      </c>
      <c r="B231" s="5" t="n">
        <v>46209</v>
      </c>
      <c r="C231" s="5"/>
      <c r="D231" s="6" t="str">
        <f>IF(OR(C231="",B231=""),"",B231-C231)</f>
      </c>
      <c r="E231" s="7" t="n">
        <v>13023759.8116948</v>
      </c>
      <c r="F231" s="9" t="n">
        <v>40.3708221517443</v>
      </c>
      <c r="G231" s="8" t="n">
        <v>12570430.9712587</v>
      </c>
      <c r="H231" s="10" t="n">
        <v>38.9656013661869</v>
      </c>
      <c r="I231" s="11" t="n">
        <v>5230596.30822598</v>
      </c>
      <c r="J231" s="12" t="n">
        <v>16.2137106611369</v>
      </c>
      <c r="K231" s="13" t="str">
        <f>=HYPERLINK("https://ucloud.univie.ac.at/index.php/f/1563063010","Open Cytogram")</f>
      </c>
      <c r="L231" s="2" t="s">
        <v>314</v>
      </c>
      <c r="M231" t="s">
        <v>314</v>
      </c>
      <c r="N231" t="s">
        <v>314</v>
      </c>
      <c r="O231" t="s">
        <v>556</v>
      </c>
    </row>
    <row r="232">
      <c r="A232" s="4" t="s">
        <v>314</v>
      </c>
      <c r="B232" s="5" t="n">
        <v>46216</v>
      </c>
      <c r="C232" s="5"/>
      <c r="D232" s="6" t="str">
        <f>IF(OR(C232="",B232=""),"",B232-C232)</f>
      </c>
      <c r="E232" s="7" t="n">
        <v>11041483.4491214</v>
      </c>
      <c r="F232" s="9" t="n">
        <v>34.3392892764527</v>
      </c>
      <c r="G232" s="8" t="n">
        <v>12634022.7217001</v>
      </c>
      <c r="H232" s="10" t="n">
        <v>39.2921261862016</v>
      </c>
      <c r="I232" s="11" t="n">
        <v>6904363.30200247</v>
      </c>
      <c r="J232" s="12" t="n">
        <v>21.4727422985951</v>
      </c>
      <c r="K232" s="13" t="str">
        <f>=HYPERLINK("https://ucloud.univie.ac.at/index.php/f/1563063010","Open Cytogram")</f>
      </c>
      <c r="L232" s="2" t="s">
        <v>314</v>
      </c>
      <c r="M232" s="3" t="s">
        <v>314</v>
      </c>
      <c r="N232" s="3" t="s">
        <v>314</v>
      </c>
      <c r="O232" s="3" t="s">
        <v>556</v>
      </c>
    </row>
    <row r="233">
      <c r="A233" s="16" t="s">
        <v>314</v>
      </c>
      <c r="B233" s="17" t="n">
        <v>46206</v>
      </c>
      <c r="C233" s="17"/>
      <c r="D233" s="18" t="str">
        <f>IF(OR(C233="",B233=""),"",B233-C233)</f>
      </c>
      <c r="E233" s="19" t="n">
        <v>8752879.99874037</v>
      </c>
      <c r="F233" s="21" t="n">
        <v>49.8496035001367</v>
      </c>
      <c r="G233" s="20" t="n">
        <v>3021856.1981389</v>
      </c>
      <c r="H233" s="22" t="n">
        <v>17.2101449275362</v>
      </c>
      <c r="I233" s="25" t="n">
        <v>4687928.25494796</v>
      </c>
      <c r="J233" s="26" t="n">
        <v>26.6987968280011</v>
      </c>
      <c r="K233" s="23" t="str">
        <f>=HYPERLINK("https://ucloud.univie.ac.at/index.php/f/1567856234","Open Cytogram")</f>
      </c>
      <c r="L233" s="14" t="s">
        <v>314</v>
      </c>
      <c r="M233" s="24" t="s">
        <v>314</v>
      </c>
      <c r="N233" s="24" t="s">
        <v>314</v>
      </c>
      <c r="O233" s="24" t="s">
        <v>558</v>
      </c>
    </row>
    <row r="234">
      <c r="A234" s="16" t="s">
        <v>626</v>
      </c>
      <c r="B234" s="17" t="n">
        <v>46195</v>
      </c>
      <c r="C234" s="17" t="n">
        <v>46184</v>
      </c>
      <c r="D234" s="18" t="str">
        <f>IF(OR(C234="",B234=""),"",B234-C234)</f>
      </c>
      <c r="E234" s="19" t="n">
        <v>1362735.76408421</v>
      </c>
      <c r="F234" s="21" t="n">
        <v>18.2144511347846</v>
      </c>
      <c r="G234" s="20" t="n">
        <v>4532634.1498338</v>
      </c>
      <c r="H234" s="22" t="n">
        <v>60.5836035201482</v>
      </c>
      <c r="I234" s="25" t="n">
        <v>1459331.46509844</v>
      </c>
      <c r="J234" s="26" t="n">
        <v>19.5055581287633</v>
      </c>
      <c r="K234" s="23" t="str">
        <f>=HYPERLINK("https://ucloud.univie.ac.at/index.php/f/1552579888","Open Cytogram")</f>
      </c>
      <c r="L234" s="14" t="s">
        <v>314</v>
      </c>
      <c r="M234" s="15" t="s">
        <v>314</v>
      </c>
      <c r="N234" s="15" t="s">
        <v>314</v>
      </c>
      <c r="O234" s="15" t="s">
        <v>571</v>
      </c>
    </row>
    <row r="235">
      <c r="A235" s="16" t="s">
        <v>627</v>
      </c>
      <c r="B235" s="17" t="n">
        <v>46195</v>
      </c>
      <c r="C235" s="17" t="n">
        <v>46184</v>
      </c>
      <c r="D235" s="18" t="str">
        <f>IF(OR(C235="",B235=""),"",B235-C235)</f>
      </c>
      <c r="E235" s="19" t="n">
        <v>1882714.2241998</v>
      </c>
      <c r="F235" s="21" t="n">
        <v>7.98743855816494</v>
      </c>
      <c r="G235" s="20" t="n">
        <v>19166352.6338452</v>
      </c>
      <c r="H235" s="22" t="n">
        <v>81.3134898962316</v>
      </c>
      <c r="I235" s="25" t="n">
        <v>2192959.78182862</v>
      </c>
      <c r="J235" s="26" t="n">
        <v>9.30365920262152</v>
      </c>
      <c r="K235" s="23" t="str">
        <f>=HYPERLINK("https://ucloud.univie.ac.at/index.php/f/1552579888","Open Cytogram")</f>
      </c>
      <c r="L235" s="14" t="s">
        <v>314</v>
      </c>
      <c r="M235" s="24" t="s">
        <v>314</v>
      </c>
      <c r="N235" s="24" t="s">
        <v>314</v>
      </c>
      <c r="O235" s="24" t="s">
        <v>571</v>
      </c>
    </row>
    <row r="236">
      <c r="A236" s="16" t="s">
        <v>628</v>
      </c>
      <c r="B236" s="17" t="n">
        <v>46195</v>
      </c>
      <c r="C236" s="17"/>
      <c r="D236" s="18" t="str">
        <f>IF(OR(C236="",B236=""),"",B236-C236)</f>
      </c>
      <c r="E236" s="19" t="n">
        <v>4699424.39678284</v>
      </c>
      <c r="F236" s="21" t="n">
        <v>25.6095725466586</v>
      </c>
      <c r="G236" s="20" t="n">
        <v>11341866.7560322</v>
      </c>
      <c r="H236" s="22" t="n">
        <v>61.8076459963877</v>
      </c>
      <c r="I236" s="25" t="n">
        <v>2001708.98123324</v>
      </c>
      <c r="J236" s="26" t="n">
        <v>10.9083383503913</v>
      </c>
      <c r="K236" s="23" t="str">
        <f>=HYPERLINK("https://ucloud.univie.ac.at/index.php/f/1556102618","Open Cytogram")</f>
      </c>
      <c r="L236" s="14" t="s">
        <v>314</v>
      </c>
      <c r="M236" s="15" t="s">
        <v>314</v>
      </c>
      <c r="N236" s="15" t="s">
        <v>314</v>
      </c>
      <c r="O236" s="15" t="s">
        <v>554</v>
      </c>
    </row>
    <row r="237">
      <c r="A237" s="16" t="s">
        <v>629</v>
      </c>
      <c r="B237" s="17" t="n">
        <v>46195</v>
      </c>
      <c r="C237" s="17" t="n">
        <v>46184</v>
      </c>
      <c r="D237" s="18" t="str">
        <f>IF(OR(C237="",B237=""),"",B237-C237)</f>
      </c>
      <c r="E237" s="19" t="n">
        <v>1741752.0310033</v>
      </c>
      <c r="F237" s="21" t="n">
        <v>12.2576553723501</v>
      </c>
      <c r="G237" s="20" t="n">
        <v>9928501.5071049</v>
      </c>
      <c r="H237" s="22" t="n">
        <v>69.8722594672948</v>
      </c>
      <c r="I237" s="25" t="n">
        <v>2300451.49992823</v>
      </c>
      <c r="J237" s="26" t="n">
        <v>16.1895270882406</v>
      </c>
      <c r="K237" s="23" t="str">
        <f>=HYPERLINK("https://ucloud.univie.ac.at/index.php/f/1552579888","Open Cytogram")</f>
      </c>
      <c r="L237" s="14" t="s">
        <v>314</v>
      </c>
      <c r="M237" s="24" t="s">
        <v>314</v>
      </c>
      <c r="N237" s="24" t="s">
        <v>314</v>
      </c>
      <c r="O237" s="24" t="s">
        <v>571</v>
      </c>
    </row>
    <row r="238">
      <c r="A238" s="4" t="s">
        <v>630</v>
      </c>
      <c r="B238" s="5" t="n">
        <v>46184</v>
      </c>
      <c r="C238" s="5" t="n">
        <v>46184</v>
      </c>
      <c r="D238" s="6" t="str">
        <f>IF(OR(C238="",B238=""),"",B238-C238)</f>
      </c>
      <c r="E238" s="7" t="n">
        <v>1922796.04172879</v>
      </c>
      <c r="F238" s="9" t="n">
        <v>54.3849191565457</v>
      </c>
      <c r="G238" s="8" t="n">
        <v>506186.134289885</v>
      </c>
      <c r="H238" s="10" t="n">
        <v>14.3171149690783</v>
      </c>
      <c r="I238" s="11" t="n">
        <v>971276.751041794</v>
      </c>
      <c r="J238" s="12" t="n">
        <v>27.4718724387154</v>
      </c>
      <c r="K238" s="13" t="str">
        <f>=HYPERLINK("https://ucloud.univie.ac.at/index.php/f/1525440666","Open Cytogram")</f>
      </c>
      <c r="L238" s="2" t="s">
        <v>314</v>
      </c>
      <c r="M238" s="3" t="s">
        <v>314</v>
      </c>
      <c r="N238" s="3" t="s">
        <v>314</v>
      </c>
      <c r="O238" s="3" t="s">
        <v>537</v>
      </c>
    </row>
    <row r="239">
      <c r="A239" s="4" t="s">
        <v>314</v>
      </c>
      <c r="B239" s="5" t="n">
        <v>46191</v>
      </c>
      <c r="C239" s="5" t="n">
        <v>46184</v>
      </c>
      <c r="D239" s="6" t="str">
        <f>IF(OR(C239="",B239=""),"",B239-C239)</f>
      </c>
      <c r="E239" s="7" t="n">
        <v>3867016.04342535</v>
      </c>
      <c r="F239" s="9" t="n">
        <v>16.5873082757458</v>
      </c>
      <c r="G239" s="8" t="n">
        <v>18172470.4146642</v>
      </c>
      <c r="H239" s="10" t="n">
        <v>77.949603910332</v>
      </c>
      <c r="I239" s="11" t="n">
        <v>773599.678444675</v>
      </c>
      <c r="J239" s="12" t="n">
        <v>3.31830439912355</v>
      </c>
      <c r="K239" s="13" t="str">
        <f>=HYPERLINK("https://ucloud.univie.ac.at/index.php/f/1527061636","Open Cytogram")</f>
      </c>
      <c r="L239" s="2" t="s">
        <v>314</v>
      </c>
      <c r="M239" t="s">
        <v>314</v>
      </c>
      <c r="N239" t="s">
        <v>314</v>
      </c>
      <c r="O239" t="s">
        <v>608</v>
      </c>
    </row>
    <row r="240">
      <c r="A240" s="4" t="s">
        <v>314</v>
      </c>
      <c r="B240" s="5" t="n">
        <v>46196</v>
      </c>
      <c r="C240" s="5" t="n">
        <v>46184</v>
      </c>
      <c r="D240" s="6" t="str">
        <f>IF(OR(C240="",B240=""),"",B240-C240)</f>
      </c>
      <c r="E240" s="7" t="n">
        <v>4715305.49597855</v>
      </c>
      <c r="F240" s="9" t="n">
        <v>21.9673818638016</v>
      </c>
      <c r="G240" s="8" t="n">
        <v>14929614.2091153</v>
      </c>
      <c r="H240" s="10" t="n">
        <v>69.5531894360987</v>
      </c>
      <c r="I240" s="11" t="n">
        <v>980485.254691689</v>
      </c>
      <c r="J240" s="12" t="n">
        <v>4.56782577926464</v>
      </c>
      <c r="K240" s="13" t="str">
        <f>=HYPERLINK("https://ucloud.univie.ac.at/index.php/f/1556102618","Open Cytogram")</f>
      </c>
      <c r="L240" s="2" t="s">
        <v>314</v>
      </c>
      <c r="M240" s="3" t="s">
        <v>314</v>
      </c>
      <c r="N240" s="3" t="s">
        <v>314</v>
      </c>
      <c r="O240" s="3" t="s">
        <v>554</v>
      </c>
    </row>
    <row r="241">
      <c r="A241" s="4" t="s">
        <v>314</v>
      </c>
      <c r="B241" s="5" t="n">
        <v>46197</v>
      </c>
      <c r="C241" s="5"/>
      <c r="D241" s="6" t="str">
        <f>IF(OR(C241="",B241=""),"",B241-C241)</f>
      </c>
      <c r="E241" s="7" t="n">
        <v>4517657.88660616</v>
      </c>
      <c r="F241" s="9" t="n">
        <v>15.4220579174368</v>
      </c>
      <c r="G241" s="8" t="n">
        <v>22528727.8228598</v>
      </c>
      <c r="H241" s="10" t="n">
        <v>76.9069624152804</v>
      </c>
      <c r="I241" s="11" t="n">
        <v>1748945.46229379</v>
      </c>
      <c r="J241" s="12" t="n">
        <v>5.97042513863216</v>
      </c>
      <c r="K241" s="13" t="str">
        <f>=HYPERLINK("https://ucloud.univie.ac.at/index.php/f/1563063010","Open Cytogram")</f>
      </c>
      <c r="L241" s="2" t="s">
        <v>314</v>
      </c>
      <c r="M241" t="s">
        <v>314</v>
      </c>
      <c r="N241" t="s">
        <v>314</v>
      </c>
      <c r="O241" t="s">
        <v>556</v>
      </c>
    </row>
    <row r="242">
      <c r="A242" s="4" t="s">
        <v>314</v>
      </c>
      <c r="B242" s="5" t="n">
        <v>46199</v>
      </c>
      <c r="C242" s="5"/>
      <c r="D242" s="6" t="str">
        <f>IF(OR(C242="",B242=""),"",B242-C242)</f>
      </c>
      <c r="E242" s="7" t="n">
        <v>14047748.6828433</v>
      </c>
      <c r="F242" s="9" t="n">
        <v>65.8763975381478</v>
      </c>
      <c r="G242" s="8" t="n">
        <v>3112575.41715054</v>
      </c>
      <c r="H242" s="10" t="n">
        <v>14.596307221676</v>
      </c>
      <c r="I242" s="11" t="n">
        <v>3089277.69696228</v>
      </c>
      <c r="J242" s="12" t="n">
        <v>14.4870534251065</v>
      </c>
      <c r="K242" s="13" t="str">
        <f>=HYPERLINK("https://ucloud.univie.ac.at/index.php/f/1567856234","Open Cytogram")</f>
      </c>
      <c r="L242" s="2" t="s">
        <v>314</v>
      </c>
      <c r="M242" s="3" t="s">
        <v>314</v>
      </c>
      <c r="N242" s="3" t="s">
        <v>314</v>
      </c>
      <c r="O242" s="3" t="s">
        <v>558</v>
      </c>
    </row>
    <row r="243">
      <c r="A243" s="4" t="s">
        <v>314</v>
      </c>
      <c r="B243" s="5" t="n">
        <v>46203</v>
      </c>
      <c r="C243" s="5"/>
      <c r="D243" s="6" t="str">
        <f>IF(OR(C243="",B243=""),"",B243-C243)</f>
      </c>
      <c r="E243" s="7" t="n">
        <v>8043524.71900134</v>
      </c>
      <c r="F243" s="9" t="n">
        <v>24.7061758509813</v>
      </c>
      <c r="G243" s="8" t="n">
        <v>22282359.3444252</v>
      </c>
      <c r="H243" s="10" t="n">
        <v>68.441623239827</v>
      </c>
      <c r="I243" s="11" t="n">
        <v>1010742.47562902</v>
      </c>
      <c r="J243" s="12" t="n">
        <v>3.10455704623572</v>
      </c>
      <c r="K243" s="13" t="str">
        <f>=HYPERLINK("https://ucloud.univie.ac.at/index.php/f/1563063010","Open Cytogram")</f>
      </c>
      <c r="L243" s="2" t="s">
        <v>314</v>
      </c>
      <c r="M243" t="s">
        <v>314</v>
      </c>
      <c r="N243" t="s">
        <v>314</v>
      </c>
      <c r="O243" t="s">
        <v>556</v>
      </c>
    </row>
    <row r="244">
      <c r="A244" s="4" t="s">
        <v>314</v>
      </c>
      <c r="B244" s="5" t="n">
        <v>46209</v>
      </c>
      <c r="C244" s="5"/>
      <c r="D244" s="6" t="str">
        <f>IF(OR(C244="",B244=""),"",B244-C244)</f>
      </c>
      <c r="E244" s="7" t="n">
        <v>14120878.567889</v>
      </c>
      <c r="F244" s="9" t="n">
        <v>29.146495987524</v>
      </c>
      <c r="G244" s="8" t="n">
        <v>28413329.5094153</v>
      </c>
      <c r="H244" s="10" t="n">
        <v>58.6471295363722</v>
      </c>
      <c r="I244" s="11" t="n">
        <v>4391623.14172449</v>
      </c>
      <c r="J244" s="12" t="n">
        <v>9.06462198252055</v>
      </c>
      <c r="K244" s="13" t="str">
        <f>=HYPERLINK("https://ucloud.univie.ac.at/index.php/f/1563063010","Open Cytogram")</f>
      </c>
      <c r="L244" s="2" t="s">
        <v>314</v>
      </c>
      <c r="M244" s="3" t="s">
        <v>314</v>
      </c>
      <c r="N244" s="3" t="s">
        <v>314</v>
      </c>
      <c r="O244" s="3" t="s">
        <v>556</v>
      </c>
    </row>
    <row r="245">
      <c r="A245" s="4" t="s">
        <v>314</v>
      </c>
      <c r="B245" s="5" t="n">
        <v>46216</v>
      </c>
      <c r="C245" s="5"/>
      <c r="D245" s="6" t="str">
        <f>IF(OR(C245="",B245=""),"",B245-C245)</f>
      </c>
      <c r="E245" s="7" t="n">
        <v>12620800.8424183</v>
      </c>
      <c r="F245" s="9" t="n">
        <v>31.7205364560668</v>
      </c>
      <c r="G245" s="8" t="n">
        <v>19156291.6253717</v>
      </c>
      <c r="H245" s="10" t="n">
        <v>48.1465363769435</v>
      </c>
      <c r="I245" s="11" t="n">
        <v>5676054.85629337</v>
      </c>
      <c r="J245" s="12" t="n">
        <v>14.2659334572932</v>
      </c>
      <c r="K245" s="13" t="str">
        <f>=HYPERLINK("https://ucloud.univie.ac.at/index.php/f/1563063010","Open Cytogram")</f>
      </c>
      <c r="L245" s="2" t="s">
        <v>314</v>
      </c>
      <c r="M245" t="s">
        <v>314</v>
      </c>
      <c r="N245" t="s">
        <v>314</v>
      </c>
      <c r="O245" t="s">
        <v>556</v>
      </c>
    </row>
    <row r="246">
      <c r="A246" s="16" t="s">
        <v>314</v>
      </c>
      <c r="B246" s="17" t="n">
        <v>46206</v>
      </c>
      <c r="C246" s="17"/>
      <c r="D246" s="18" t="str">
        <f>IF(OR(C246="",B246=""),"",B246-C246)</f>
      </c>
      <c r="E246" s="19" t="n">
        <v>11502084.4569403</v>
      </c>
      <c r="F246" s="21" t="n">
        <v>60.3053745928339</v>
      </c>
      <c r="G246" s="20" t="n">
        <v>1808679.67728134</v>
      </c>
      <c r="H246" s="22" t="n">
        <v>9.4828990228013</v>
      </c>
      <c r="I246" s="25" t="n">
        <v>4900287.14626244</v>
      </c>
      <c r="J246" s="26" t="n">
        <v>25.6921824104234</v>
      </c>
      <c r="K246" s="23" t="str">
        <f>=HYPERLINK("https://ucloud.univie.ac.at/index.php/f/1567856234","Open Cytogram")</f>
      </c>
      <c r="L246" s="14" t="s">
        <v>314</v>
      </c>
      <c r="M246" s="15" t="s">
        <v>314</v>
      </c>
      <c r="N246" s="15" t="s">
        <v>314</v>
      </c>
      <c r="O246" s="15" t="s">
        <v>558</v>
      </c>
    </row>
    <row r="247">
      <c r="A247" s="16" t="s">
        <v>631</v>
      </c>
      <c r="B247" s="17" t="n">
        <v>46195</v>
      </c>
      <c r="C247" s="17" t="n">
        <v>46184</v>
      </c>
      <c r="D247" s="18" t="str">
        <f>IF(OR(C247="",B247=""),"",B247-C247)</f>
      </c>
      <c r="E247" s="19" t="n">
        <v>4277873.36245134</v>
      </c>
      <c r="F247" s="21" t="n">
        <v>25.0052970911402</v>
      </c>
      <c r="G247" s="20" t="n">
        <v>10966808.1430813</v>
      </c>
      <c r="H247" s="22" t="n">
        <v>64.1038835245331</v>
      </c>
      <c r="I247" s="25" t="n">
        <v>1220548.05898775</v>
      </c>
      <c r="J247" s="26" t="n">
        <v>7.13442503859309</v>
      </c>
      <c r="K247" s="23" t="str">
        <f>=HYPERLINK("https://ucloud.univie.ac.at/index.php/f/1552579888","Open Cytogram")</f>
      </c>
      <c r="L247" s="14" t="s">
        <v>314</v>
      </c>
      <c r="M247" s="24" t="s">
        <v>314</v>
      </c>
      <c r="N247" s="24" t="s">
        <v>314</v>
      </c>
      <c r="O247" s="24" t="s">
        <v>571</v>
      </c>
    </row>
    <row r="248">
      <c r="A248" s="16" t="s">
        <v>632</v>
      </c>
      <c r="B248" s="17" t="n">
        <v>46195</v>
      </c>
      <c r="C248" s="17" t="n">
        <v>46184</v>
      </c>
      <c r="D248" s="18" t="str">
        <f>IF(OR(C248="",B248=""),"",B248-C248)</f>
      </c>
      <c r="E248" s="19" t="n">
        <v>2729321.64486232</v>
      </c>
      <c r="F248" s="21" t="n">
        <v>12.1955852741157</v>
      </c>
      <c r="G248" s="20" t="n">
        <v>18123205.8754642</v>
      </c>
      <c r="H248" s="22" t="n">
        <v>80.9809657687778</v>
      </c>
      <c r="I248" s="25" t="n">
        <v>1141043.50386456</v>
      </c>
      <c r="J248" s="26" t="n">
        <v>5.09859047908514</v>
      </c>
      <c r="K248" s="23" t="str">
        <f>=HYPERLINK("https://ucloud.univie.ac.at/index.php/f/1552579888","Open Cytogram")</f>
      </c>
      <c r="L248" s="14" t="s">
        <v>314</v>
      </c>
      <c r="M248" s="15" t="s">
        <v>314</v>
      </c>
      <c r="N248" s="15" t="s">
        <v>314</v>
      </c>
      <c r="O248" s="15" t="s">
        <v>571</v>
      </c>
    </row>
    <row r="249">
      <c r="A249" s="16" t="s">
        <v>633</v>
      </c>
      <c r="B249" s="17" t="n">
        <v>46195</v>
      </c>
      <c r="C249" s="17"/>
      <c r="D249" s="18" t="str">
        <f>IF(OR(C249="",B249=""),"",B249-C249)</f>
      </c>
      <c r="E249" s="19" t="n">
        <v>8439768.49865952</v>
      </c>
      <c r="F249" s="21" t="n">
        <v>27.9287101565178</v>
      </c>
      <c r="G249" s="20" t="n">
        <v>18453837.2654155</v>
      </c>
      <c r="H249" s="22" t="n">
        <v>61.0670627213527</v>
      </c>
      <c r="I249" s="25" t="n">
        <v>1581205.09383378</v>
      </c>
      <c r="J249" s="26" t="n">
        <v>5.23249171712556</v>
      </c>
      <c r="K249" s="23" t="str">
        <f>=HYPERLINK("https://ucloud.univie.ac.at/index.php/f/1556102618","Open Cytogram")</f>
      </c>
      <c r="L249" s="14" t="s">
        <v>314</v>
      </c>
      <c r="M249" s="24" t="s">
        <v>314</v>
      </c>
      <c r="N249" s="24" t="s">
        <v>314</v>
      </c>
      <c r="O249" s="24" t="s">
        <v>554</v>
      </c>
    </row>
    <row r="250">
      <c r="A250" s="16" t="s">
        <v>634</v>
      </c>
      <c r="B250" s="17" t="n">
        <v>46195</v>
      </c>
      <c r="C250" s="17" t="n">
        <v>46184</v>
      </c>
      <c r="D250" s="18" t="str">
        <f>IF(OR(C250="",B250=""),"",B250-C250)</f>
      </c>
      <c r="E250" s="19" t="n">
        <v>3595501.42098463</v>
      </c>
      <c r="F250" s="21" t="n">
        <v>14.6349131494144</v>
      </c>
      <c r="G250" s="20" t="n">
        <v>19280280.9817712</v>
      </c>
      <c r="H250" s="22" t="n">
        <v>78.4772983311064</v>
      </c>
      <c r="I250" s="25" t="n">
        <v>1217810.36314052</v>
      </c>
      <c r="J250" s="26" t="n">
        <v>4.95690219811889</v>
      </c>
      <c r="K250" s="23" t="str">
        <f>=HYPERLINK("https://ucloud.univie.ac.at/index.php/f/1552579888","Open Cytogram")</f>
      </c>
      <c r="L250" s="14" t="s">
        <v>314</v>
      </c>
      <c r="M250" s="15" t="s">
        <v>314</v>
      </c>
      <c r="N250" s="15" t="s">
        <v>314</v>
      </c>
      <c r="O250" s="15" t="s">
        <v>571</v>
      </c>
    </row>
    <row r="251">
      <c r="A251" s="4" t="s">
        <v>635</v>
      </c>
      <c r="B251" s="5" t="n">
        <v>46204</v>
      </c>
      <c r="C251" s="5" t="n">
        <v>46199</v>
      </c>
      <c r="D251" s="6" t="str">
        <f>IF(OR(C251="",B251=""),"",B251-C251)</f>
      </c>
      <c r="E251" s="7" t="n">
        <v>13295385.3441236</v>
      </c>
      <c r="F251" s="9" t="n">
        <v>50.5451154784106</v>
      </c>
      <c r="G251" s="8" t="n">
        <v>8719574.18269113</v>
      </c>
      <c r="H251" s="10" t="n">
        <v>33.1492373165017</v>
      </c>
      <c r="I251" s="11" t="n">
        <v>2123765.02091222</v>
      </c>
      <c r="J251" s="12" t="n">
        <v>8.07392530961603</v>
      </c>
      <c r="K251" s="13" t="str">
        <f>=HYPERLINK("https://ucloud.univie.ac.at/index.php/f/1543029432","Open Cytogram")</f>
      </c>
      <c r="L251" s="2" t="s">
        <v>314</v>
      </c>
      <c r="M251" t="s">
        <v>314</v>
      </c>
      <c r="N251" t="s">
        <v>314</v>
      </c>
      <c r="O251" t="s">
        <v>552</v>
      </c>
    </row>
    <row r="252">
      <c r="A252" s="4" t="s">
        <v>314</v>
      </c>
      <c r="B252" s="5" t="n">
        <v>46211</v>
      </c>
      <c r="C252" s="5" t="n">
        <v>46199</v>
      </c>
      <c r="D252" s="6" t="str">
        <f>IF(OR(C252="",B252=""),"",B252-C252)</f>
      </c>
      <c r="E252" s="7" t="n">
        <v>11930147.2083424</v>
      </c>
      <c r="F252" s="9" t="n">
        <v>35.4720233087798</v>
      </c>
      <c r="G252" s="8" t="n">
        <v>18643270.301977</v>
      </c>
      <c r="H252" s="10" t="n">
        <v>55.4322178221885</v>
      </c>
      <c r="I252" s="11" t="n">
        <v>2513970.74733869</v>
      </c>
      <c r="J252" s="12" t="n">
        <v>7.47481379649958</v>
      </c>
      <c r="K252" s="13" t="str">
        <f>=HYPERLINK("https://ucloud.univie.ac.at/index.php/f/1547934963","Open Cytogram")</f>
      </c>
      <c r="L252" s="2" t="s">
        <v>314</v>
      </c>
      <c r="M252" s="3" t="s">
        <v>314</v>
      </c>
      <c r="N252" s="3" t="s">
        <v>314</v>
      </c>
      <c r="O252" s="3" t="s">
        <v>553</v>
      </c>
    </row>
    <row r="253">
      <c r="A253" s="16" t="s">
        <v>314</v>
      </c>
      <c r="B253" s="17" t="n">
        <v>46224</v>
      </c>
      <c r="C253" s="17" t="n">
        <v>46199</v>
      </c>
      <c r="D253" s="18" t="str">
        <f>IF(OR(C253="",B253=""),"",B253-C253)</f>
      </c>
      <c r="E253" s="19" t="n">
        <v>4773581.3741155</v>
      </c>
      <c r="F253" s="21" t="n">
        <v>44.2420015691744</v>
      </c>
      <c r="G253" s="20" t="n">
        <v>3033458.11458571</v>
      </c>
      <c r="H253" s="22" t="n">
        <v>28.1143753813966</v>
      </c>
      <c r="I253" s="25" t="n">
        <v>2521767.81556722</v>
      </c>
      <c r="J253" s="26" t="n">
        <v>23.3719815186122</v>
      </c>
      <c r="K253" s="23" t="str">
        <f>=HYPERLINK("https://ucloud.univie.ac.at/index.php/f/1556102618","Open Cytogram")</f>
      </c>
      <c r="L253" s="14" t="s">
        <v>314</v>
      </c>
      <c r="M253" s="24" t="s">
        <v>314</v>
      </c>
      <c r="N253" s="24" t="s">
        <v>314</v>
      </c>
      <c r="O253" s="24" t="s">
        <v>554</v>
      </c>
    </row>
    <row r="254">
      <c r="A254" s="4" t="s">
        <v>465</v>
      </c>
      <c r="B254" s="5" t="n">
        <v>46211</v>
      </c>
      <c r="C254" s="5" t="n">
        <v>46199</v>
      </c>
      <c r="D254" s="6" t="str">
        <f>IF(OR(C254="",B254=""),"",B254-C254)</f>
      </c>
      <c r="E254" s="7" t="n">
        <v>11515407.5928742</v>
      </c>
      <c r="F254" s="9" t="n">
        <v>34.949524567503</v>
      </c>
      <c r="G254" s="8" t="n">
        <v>18186435.6506626</v>
      </c>
      <c r="H254" s="10" t="n">
        <v>55.1962468060152</v>
      </c>
      <c r="I254" s="11" t="n">
        <v>2659578.16641321</v>
      </c>
      <c r="J254" s="12" t="n">
        <v>8.07188036694173</v>
      </c>
      <c r="K254" s="13" t="str">
        <f>=HYPERLINK("https://ucloud.univie.ac.at/index.php/f/1547934963","Open Cytogram")</f>
      </c>
      <c r="L254" s="2" t="s">
        <v>314</v>
      </c>
      <c r="M254" s="3" t="s">
        <v>314</v>
      </c>
      <c r="N254" s="3" t="s">
        <v>314</v>
      </c>
      <c r="O254" s="3" t="s">
        <v>553</v>
      </c>
    </row>
    <row r="255">
      <c r="A255" s="16" t="s">
        <v>314</v>
      </c>
      <c r="B255" s="17" t="n">
        <v>46224</v>
      </c>
      <c r="C255" s="17" t="n">
        <v>46199</v>
      </c>
      <c r="D255" s="18" t="str">
        <f>IF(OR(C255="",B255=""),"",B255-C255)</f>
      </c>
      <c r="E255" s="19" t="n">
        <v>12135713.6726775</v>
      </c>
      <c r="F255" s="21" t="n">
        <v>61.7054856760247</v>
      </c>
      <c r="G255" s="20" t="n">
        <v>3061676.32960511</v>
      </c>
      <c r="H255" s="22" t="n">
        <v>15.5674589889521</v>
      </c>
      <c r="I255" s="25" t="n">
        <v>3658021.27368181</v>
      </c>
      <c r="J255" s="26" t="n">
        <v>18.5996460854178</v>
      </c>
      <c r="K255" s="23" t="str">
        <f>=HYPERLINK("https://ucloud.univie.ac.at/index.php/f/1556102618","Open Cytogram")</f>
      </c>
      <c r="L255" s="14" t="s">
        <v>314</v>
      </c>
      <c r="M255" s="24" t="s">
        <v>314</v>
      </c>
      <c r="N255" s="24" t="s">
        <v>314</v>
      </c>
      <c r="O255" s="24" t="s">
        <v>554</v>
      </c>
    </row>
    <row r="256">
      <c r="A256" s="4" t="s">
        <v>636</v>
      </c>
      <c r="B256" s="5" t="n">
        <v>46224</v>
      </c>
      <c r="C256" s="5"/>
      <c r="D256" s="6" t="str">
        <f>IF(OR(C256="",B256=""),"",B256-C256)</f>
      </c>
      <c r="E256" s="7" t="n">
        <v>5193119.43699732</v>
      </c>
      <c r="F256" s="9" t="n">
        <v>45.6371359223301</v>
      </c>
      <c r="G256" s="8" t="n">
        <v>4463969.83914209</v>
      </c>
      <c r="H256" s="10" t="n">
        <v>39.2293689320388</v>
      </c>
      <c r="I256" s="11" t="n">
        <v>1278773.72654156</v>
      </c>
      <c r="J256" s="12" t="n">
        <v>11.2378640776699</v>
      </c>
      <c r="K256" s="13" t="str">
        <f>=HYPERLINK("https://ucloud.univie.ac.at/index.php/f/1556102618","Open Cytogram")</f>
      </c>
      <c r="L256" s="2" t="s">
        <v>314</v>
      </c>
      <c r="M256" s="3" t="s">
        <v>314</v>
      </c>
      <c r="N256" s="3" t="s">
        <v>314</v>
      </c>
      <c r="O256" s="3" t="s">
        <v>554</v>
      </c>
    </row>
    <row r="257">
      <c r="A257" s="16" t="s">
        <v>314</v>
      </c>
      <c r="B257" s="17" t="n">
        <v>46231</v>
      </c>
      <c r="C257" s="17"/>
      <c r="D257" s="18" t="str">
        <f>IF(OR(C257="",B257=""),"",B257-C257)</f>
      </c>
      <c r="E257" s="19" t="n">
        <v>2377049.71500612</v>
      </c>
      <c r="F257" s="21" t="n">
        <v>11.2142370572207</v>
      </c>
      <c r="G257" s="20" t="n">
        <v>14391348.4454072</v>
      </c>
      <c r="H257" s="22" t="n">
        <v>67.8942438692098</v>
      </c>
      <c r="I257" s="25" t="n">
        <v>3585428.44256617</v>
      </c>
      <c r="J257" s="26" t="n">
        <v>16.9150204359673</v>
      </c>
      <c r="K257" s="23" t="str">
        <f>=HYPERLINK("https://ucloud.univie.ac.at/index.php/f/1563063010","Open Cytogram")</f>
      </c>
      <c r="L257" s="14" t="s">
        <v>314</v>
      </c>
      <c r="M257" s="24" t="s">
        <v>314</v>
      </c>
      <c r="N257" s="24" t="s">
        <v>314</v>
      </c>
      <c r="O257" s="24" t="s">
        <v>556</v>
      </c>
    </row>
    <row r="258">
      <c r="A258" s="4" t="s">
        <v>637</v>
      </c>
      <c r="B258" s="5" t="n">
        <v>46224</v>
      </c>
      <c r="C258" s="5"/>
      <c r="D258" s="6" t="str">
        <f>IF(OR(C258="",B258=""),"",B258-C258)</f>
      </c>
      <c r="E258" s="7" t="n">
        <v>6247512.8052956</v>
      </c>
      <c r="F258" s="9" t="n">
        <v>31.583452211127</v>
      </c>
      <c r="G258" s="8" t="n">
        <v>11339960.0091303</v>
      </c>
      <c r="H258" s="10" t="n">
        <v>57.3276271992392</v>
      </c>
      <c r="I258" s="11" t="n">
        <v>1618784.93494636</v>
      </c>
      <c r="J258" s="12" t="n">
        <v>8.18354731336186</v>
      </c>
      <c r="K258" s="13" t="str">
        <f>=HYPERLINK("https://ucloud.univie.ac.at/index.php/f/1556102618","Open Cytogram")</f>
      </c>
      <c r="L258" s="2" t="s">
        <v>314</v>
      </c>
      <c r="M258" s="3" t="s">
        <v>314</v>
      </c>
      <c r="N258" s="3" t="s">
        <v>314</v>
      </c>
      <c r="O258" s="3" t="s">
        <v>554</v>
      </c>
    </row>
    <row r="259">
      <c r="A259" s="4" t="s">
        <v>314</v>
      </c>
      <c r="B259" s="5" t="n">
        <v>46231</v>
      </c>
      <c r="C259" s="5"/>
      <c r="D259" s="6" t="str">
        <f>IF(OR(C259="",B259=""),"",B259-C259)</f>
      </c>
      <c r="E259" s="7" t="n">
        <v>2063599.22107593</v>
      </c>
      <c r="F259" s="9" t="n">
        <v>23.4786775275515</v>
      </c>
      <c r="G259" s="8" t="n">
        <v>3671161.06326686</v>
      </c>
      <c r="H259" s="10" t="n">
        <v>41.7687726743788</v>
      </c>
      <c r="I259" s="11" t="n">
        <v>2430595.00091742</v>
      </c>
      <c r="J259" s="12" t="n">
        <v>27.6541857758916</v>
      </c>
      <c r="K259" s="13" t="str">
        <f>=HYPERLINK("https://ucloud.univie.ac.at/index.php/f/1563063010","Open Cytogram")</f>
      </c>
      <c r="L259" s="2" t="s">
        <v>314</v>
      </c>
      <c r="M259" t="s">
        <v>314</v>
      </c>
      <c r="N259" t="s">
        <v>314</v>
      </c>
      <c r="O259" t="s">
        <v>556</v>
      </c>
    </row>
    <row r="260">
      <c r="A260" s="16" t="s">
        <v>314</v>
      </c>
      <c r="B260" s="17" t="n">
        <v>46238</v>
      </c>
      <c r="C260" s="17"/>
      <c r="D260" s="18" t="str">
        <f>IF(OR(C260="",B260=""),"",B260-C260)</f>
      </c>
      <c r="E260" s="19" t="n">
        <v>12504663.0157081</v>
      </c>
      <c r="F260" s="21" t="n">
        <v>45.9165050758526</v>
      </c>
      <c r="G260" s="20" t="n">
        <v>9078344.96668906</v>
      </c>
      <c r="H260" s="22" t="n">
        <v>33.3352344017338</v>
      </c>
      <c r="I260" s="25" t="n">
        <v>4476268.63883625</v>
      </c>
      <c r="J260" s="26" t="n">
        <v>16.4366373902133</v>
      </c>
      <c r="K260" s="23" t="str">
        <f>=HYPERLINK("https://ucloud.univie.ac.at/index.php/f/1567856234","Open Cytogram")</f>
      </c>
      <c r="L260" s="14" t="s">
        <v>314</v>
      </c>
      <c r="M260" s="15" t="s">
        <v>314</v>
      </c>
      <c r="N260" s="15" t="s">
        <v>314</v>
      </c>
      <c r="O260" s="15" t="s">
        <v>558</v>
      </c>
    </row>
    <row r="261">
      <c r="A261" s="4" t="s">
        <v>638</v>
      </c>
      <c r="B261" s="5" t="n">
        <v>46224</v>
      </c>
      <c r="C261" s="5"/>
      <c r="D261" s="6" t="str">
        <f>IF(OR(C261="",B261=""),"",B261-C261)</f>
      </c>
      <c r="E261" s="7" t="n">
        <v>1909432.5496462</v>
      </c>
      <c r="F261" s="9" t="n">
        <v>36.7953597969911</v>
      </c>
      <c r="G261" s="8" t="n">
        <v>1928244.69299247</v>
      </c>
      <c r="H261" s="10" t="n">
        <v>37.15787565706</v>
      </c>
      <c r="I261" s="11" t="n">
        <v>959419.310659667</v>
      </c>
      <c r="J261" s="12" t="n">
        <v>18.4883088635128</v>
      </c>
      <c r="K261" s="13" t="str">
        <f>=HYPERLINK("https://ucloud.univie.ac.at/index.php/f/1556102618","Open Cytogram")</f>
      </c>
      <c r="L261" s="2" t="s">
        <v>314</v>
      </c>
      <c r="M261" t="s">
        <v>314</v>
      </c>
      <c r="N261" t="s">
        <v>314</v>
      </c>
      <c r="O261" t="s">
        <v>554</v>
      </c>
    </row>
    <row r="262">
      <c r="A262" s="4" t="s">
        <v>314</v>
      </c>
      <c r="B262" s="5" t="n">
        <v>46231</v>
      </c>
      <c r="C262" s="5"/>
      <c r="D262" s="6" t="str">
        <f>IF(OR(C262="",B262=""),"",B262-C262)</f>
      </c>
      <c r="E262" s="7" t="n">
        <v>4412071.39584848</v>
      </c>
      <c r="F262" s="9" t="n">
        <v>17.9261540717926</v>
      </c>
      <c r="G262" s="8" t="n">
        <v>14119711.4050819</v>
      </c>
      <c r="H262" s="10" t="n">
        <v>57.3680929857368</v>
      </c>
      <c r="I262" s="11" t="n">
        <v>4962565.06561072</v>
      </c>
      <c r="J262" s="12" t="n">
        <v>20.1627983720163</v>
      </c>
      <c r="K262" s="13" t="str">
        <f>=HYPERLINK("https://ucloud.univie.ac.at/index.php/f/1563063010","Open Cytogram")</f>
      </c>
      <c r="L262" s="2" t="s">
        <v>314</v>
      </c>
      <c r="M262" s="3" t="s">
        <v>314</v>
      </c>
      <c r="N262" s="3" t="s">
        <v>314</v>
      </c>
      <c r="O262" s="3" t="s">
        <v>556</v>
      </c>
    </row>
    <row r="263">
      <c r="A263" s="16" t="s">
        <v>314</v>
      </c>
      <c r="B263" s="17" t="n">
        <v>46238</v>
      </c>
      <c r="C263" s="17"/>
      <c r="D263" s="18" t="str">
        <f>IF(OR(C263="",B263=""),"",B263-C263)</f>
      </c>
      <c r="E263" s="19" t="n">
        <v>11164267.5142106</v>
      </c>
      <c r="F263" s="21" t="n">
        <v>52.0096957418328</v>
      </c>
      <c r="G263" s="20" t="n">
        <v>5455549.4774158</v>
      </c>
      <c r="H263" s="22" t="n">
        <v>25.4151441698925</v>
      </c>
      <c r="I263" s="25" t="n">
        <v>3493881.43756493</v>
      </c>
      <c r="J263" s="26" t="n">
        <v>16.2765457110814</v>
      </c>
      <c r="K263" s="23" t="str">
        <f>=HYPERLINK("https://ucloud.univie.ac.at/index.php/f/1567856234","Open Cytogram")</f>
      </c>
      <c r="L263" s="23" t="str">
        <f>=HYPERLINK("https://ucloud.univie.ac.at/index.php/f/1568323194","Open Microscopy")</f>
      </c>
      <c r="M263" s="24" t="s">
        <v>639</v>
      </c>
      <c r="N263" s="24" t="s">
        <v>314</v>
      </c>
      <c r="O263" s="24" t="s">
        <v>558</v>
      </c>
    </row>
    <row r="264">
      <c r="A264" s="4" t="s">
        <v>640</v>
      </c>
      <c r="B264" s="5" t="n">
        <v>46238</v>
      </c>
      <c r="C264" s="5"/>
      <c r="D264" s="6" t="str">
        <f>IF(OR(C264="",B264=""),"",B264-C264)</f>
      </c>
      <c r="E264" s="7" t="n">
        <v>4578002.01699162</v>
      </c>
      <c r="F264" s="9" t="n">
        <v>23.8191442078468</v>
      </c>
      <c r="G264" s="8" t="n">
        <v>8225648.40779902</v>
      </c>
      <c r="H264" s="10" t="n">
        <v>42.7976887955069</v>
      </c>
      <c r="I264" s="11" t="n">
        <v>5515346.95923231</v>
      </c>
      <c r="J264" s="12" t="n">
        <v>28.6961089336943</v>
      </c>
      <c r="K264" s="13" t="str">
        <f>=HYPERLINK("https://ucloud.univie.ac.at/index.php/f/1567856234","Open Cytogram")</f>
      </c>
      <c r="L264" s="2" t="s">
        <v>314</v>
      </c>
      <c r="M264" s="3" t="s">
        <v>314</v>
      </c>
      <c r="N264" s="3" t="s">
        <v>314</v>
      </c>
      <c r="O264" s="3" t="s">
        <v>558</v>
      </c>
    </row>
    <row r="265">
      <c r="A265" s="16" t="s">
        <v>314</v>
      </c>
      <c r="B265" s="17" t="n">
        <v>46247</v>
      </c>
      <c r="C265" s="17"/>
      <c r="D265" s="18" t="str">
        <f>IF(OR(C265="",B265=""),"",B265-C265)</f>
      </c>
      <c r="E265" s="19" t="n">
        <v>9212542.61773912</v>
      </c>
      <c r="F265" s="21" t="n">
        <v>37.8356481481482</v>
      </c>
      <c r="G265" s="20" t="n">
        <v>5793183.47339626</v>
      </c>
      <c r="H265" s="22" t="n">
        <v>23.7924382716049</v>
      </c>
      <c r="I265" s="25" t="n">
        <v>8562488.62656185</v>
      </c>
      <c r="J265" s="26" t="n">
        <v>35.1658950617284</v>
      </c>
      <c r="K265" s="23" t="str">
        <f>=HYPERLINK("https://ucloud.univie.ac.at/index.php/f/1576432628","Open Cytogram")</f>
      </c>
      <c r="L265" s="14" t="s">
        <v>314</v>
      </c>
      <c r="M265" s="24" t="s">
        <v>314</v>
      </c>
      <c r="N265" s="24" t="s">
        <v>314</v>
      </c>
      <c r="O265" s="24" t="s">
        <v>559</v>
      </c>
    </row>
    <row r="266">
      <c r="A266" s="4" t="s">
        <v>641</v>
      </c>
      <c r="B266" s="5" t="n">
        <v>46238</v>
      </c>
      <c r="C266" s="5"/>
      <c r="D266" s="6" t="str">
        <f>IF(OR(C266="",B266=""),"",B266-C266)</f>
      </c>
      <c r="E266" s="7" t="n">
        <v>1249534.39276328</v>
      </c>
      <c r="F266" s="9" t="n">
        <v>19.3273273273273</v>
      </c>
      <c r="G266" s="8" t="n">
        <v>1924391.68754966</v>
      </c>
      <c r="H266" s="10" t="n">
        <v>29.7657657657658</v>
      </c>
      <c r="I266" s="11" t="n">
        <v>2725056.6713526</v>
      </c>
      <c r="J266" s="12" t="n">
        <v>42.1501501501502</v>
      </c>
      <c r="K266" s="13" t="str">
        <f>=HYPERLINK("https://ucloud.univie.ac.at/index.php/f/1567856234","Open Cytogram")</f>
      </c>
      <c r="L266" s="2" t="s">
        <v>314</v>
      </c>
      <c r="M266" s="3" t="s">
        <v>314</v>
      </c>
      <c r="N266" s="3" t="s">
        <v>314</v>
      </c>
      <c r="O266" s="3" t="s">
        <v>558</v>
      </c>
    </row>
    <row r="267">
      <c r="A267" s="16" t="s">
        <v>314</v>
      </c>
      <c r="B267" s="17" t="n">
        <v>46247</v>
      </c>
      <c r="C267" s="17"/>
      <c r="D267" s="18" t="str">
        <f>IF(OR(C267="",B267=""),"",B267-C267)</f>
      </c>
      <c r="E267" s="19" t="n">
        <v>6244201.06575799</v>
      </c>
      <c r="F267" s="21" t="n">
        <v>44.9830778419271</v>
      </c>
      <c r="G267" s="20" t="n">
        <v>3571174.5196839</v>
      </c>
      <c r="H267" s="22" t="n">
        <v>25.7266573760701</v>
      </c>
      <c r="I267" s="25" t="n">
        <v>3265113.32559994</v>
      </c>
      <c r="J267" s="26" t="n">
        <v>23.5217997212821</v>
      </c>
      <c r="K267" s="23" t="str">
        <f>=HYPERLINK("https://ucloud.univie.ac.at/index.php/f/1576432628","Open Cytogram")</f>
      </c>
      <c r="L267" s="14" t="s">
        <v>314</v>
      </c>
      <c r="M267" s="24" t="s">
        <v>314</v>
      </c>
      <c r="N267" s="24" t="s">
        <v>314</v>
      </c>
      <c r="O267" s="24" t="s">
        <v>559</v>
      </c>
    </row>
    <row r="268">
      <c r="A268" s="4" t="s">
        <v>642</v>
      </c>
      <c r="B268" s="5" t="n">
        <v>46142</v>
      </c>
      <c r="C268" s="5" t="n">
        <v>46136</v>
      </c>
      <c r="D268" s="6" t="str">
        <f>IF(OR(C268="",B268=""),"",B268-C268)</f>
      </c>
      <c r="E268" s="7" t="n">
        <v>25367.0031718431</v>
      </c>
      <c r="F268" s="9" t="n">
        <v>6.98985343855693</v>
      </c>
      <c r="G268" s="8" t="n">
        <v>22502.9866846995</v>
      </c>
      <c r="H268" s="10" t="n">
        <v>6.20067643742954</v>
      </c>
      <c r="I268" s="11" t="n">
        <v>3886.87951826629</v>
      </c>
      <c r="J268" s="12" t="n">
        <v>1.07102593010147</v>
      </c>
      <c r="K268" s="13" t="str">
        <f>=HYPERLINK("https://ucloud.univie.ac.at/index.php/f/1514656058","Open Cytogram")</f>
      </c>
      <c r="L268" s="2" t="s">
        <v>314</v>
      </c>
      <c r="M268" s="3" t="s">
        <v>314</v>
      </c>
      <c r="N268" s="3" t="s">
        <v>314</v>
      </c>
      <c r="O268" s="3" t="s">
        <v>529</v>
      </c>
    </row>
    <row r="269">
      <c r="A269" s="4" t="s">
        <v>314</v>
      </c>
      <c r="B269" s="5" t="n">
        <v>46153</v>
      </c>
      <c r="C269" s="5" t="n">
        <v>46147</v>
      </c>
      <c r="D269" s="6" t="str">
        <f>IF(OR(C269="",B269=""),"",B269-C269)</f>
      </c>
      <c r="E269" s="7" t="n">
        <v>296221.133813136</v>
      </c>
      <c r="F269" s="9" t="n">
        <v>32.5174039973052</v>
      </c>
      <c r="G269" s="8" t="n">
        <v>201094.871918724</v>
      </c>
      <c r="H269" s="10" t="n">
        <v>22.0750056141927</v>
      </c>
      <c r="I269" s="11" t="n">
        <v>151792.87381861</v>
      </c>
      <c r="J269" s="12" t="n">
        <v>16.6629238715473</v>
      </c>
      <c r="K269" s="13" t="str">
        <f>=HYPERLINK("https://ucloud.univie.ac.at/index.php/f/1514656058","Open Cytogram")</f>
      </c>
      <c r="L269" s="2" t="s">
        <v>314</v>
      </c>
      <c r="M269" t="s">
        <v>314</v>
      </c>
      <c r="N269" t="s">
        <v>314</v>
      </c>
      <c r="O269" t="s">
        <v>529</v>
      </c>
    </row>
    <row r="270">
      <c r="A270" s="16" t="s">
        <v>314</v>
      </c>
      <c r="B270" s="17" t="n">
        <v>46160</v>
      </c>
      <c r="C270" s="17" t="n">
        <v>46147</v>
      </c>
      <c r="D270" s="18" t="str">
        <f>IF(OR(C270="",B270=""),"",B270-C270)</f>
      </c>
      <c r="E270" s="19" t="n">
        <v>451628.644803036</v>
      </c>
      <c r="F270" s="21" t="n">
        <v>28.6291875240662</v>
      </c>
      <c r="G270" s="20" t="n">
        <v>263019.775655299</v>
      </c>
      <c r="H270" s="22" t="n">
        <v>16.6730843280708</v>
      </c>
      <c r="I270" s="25" t="n">
        <v>360513.249079492</v>
      </c>
      <c r="J270" s="26" t="n">
        <v>22.8532922603003</v>
      </c>
      <c r="K270" s="23" t="str">
        <f>=HYPERLINK("https://ucloud.univie.ac.at/index.php/f/1515117663","Open Cytogram")</f>
      </c>
      <c r="L270" s="14" t="s">
        <v>314</v>
      </c>
      <c r="M270" s="15" t="s">
        <v>314</v>
      </c>
      <c r="N270" s="15" t="s">
        <v>314</v>
      </c>
      <c r="O270" s="15" t="s">
        <v>598</v>
      </c>
    </row>
    <row r="271">
      <c r="A271" s="4" t="s">
        <v>643</v>
      </c>
      <c r="B271" s="5" t="n">
        <v>46142</v>
      </c>
      <c r="C271" s="5" t="n">
        <v>46136</v>
      </c>
      <c r="D271" s="6" t="str">
        <f>IF(OR(C271="",B271=""),"",B271-C271)</f>
      </c>
      <c r="E271" s="7" t="n">
        <v>79169.5986088975</v>
      </c>
      <c r="F271" s="9" t="n">
        <v>24.5247148288973</v>
      </c>
      <c r="G271" s="8" t="n">
        <v>43369.3925196028</v>
      </c>
      <c r="H271" s="10" t="n">
        <v>13.4347275031686</v>
      </c>
      <c r="I271" s="11" t="n">
        <v>55030.0310744016</v>
      </c>
      <c r="J271" s="12" t="n">
        <v>17.0468948035488</v>
      </c>
      <c r="K271" s="13" t="str">
        <f>=HYPERLINK("https://ucloud.univie.ac.at/index.php/f/1514656058","Open Cytogram")</f>
      </c>
      <c r="L271" s="2" t="s">
        <v>314</v>
      </c>
      <c r="M271" t="s">
        <v>314</v>
      </c>
      <c r="N271" t="s">
        <v>314</v>
      </c>
      <c r="O271" t="s">
        <v>529</v>
      </c>
    </row>
    <row r="272">
      <c r="A272" s="4" t="s">
        <v>314</v>
      </c>
      <c r="B272" s="5" t="n">
        <v>46153</v>
      </c>
      <c r="C272" s="5" t="n">
        <v>46136</v>
      </c>
      <c r="D272" s="6" t="str">
        <f>IF(OR(C272="",B272=""),"",B272-C272)</f>
      </c>
      <c r="E272" s="7" t="n">
        <v>200685.726706275</v>
      </c>
      <c r="F272" s="9" t="n">
        <v>21.8193950177936</v>
      </c>
      <c r="G272" s="8" t="n">
        <v>120288.69246003</v>
      </c>
      <c r="H272" s="10" t="n">
        <v>13.0782918149466</v>
      </c>
      <c r="I272" s="11" t="n">
        <v>88784.5111014509</v>
      </c>
      <c r="J272" s="12" t="n">
        <v>9.65302491103203</v>
      </c>
      <c r="K272" s="13" t="str">
        <f>=HYPERLINK("https://ucloud.univie.ac.at/index.php/f/1514656058","Open Cytogram")</f>
      </c>
      <c r="L272" s="2" t="s">
        <v>314</v>
      </c>
      <c r="M272" s="3" t="s">
        <v>314</v>
      </c>
      <c r="N272" s="3" t="s">
        <v>314</v>
      </c>
      <c r="O272" s="3" t="s">
        <v>529</v>
      </c>
    </row>
    <row r="273">
      <c r="A273" s="16" t="s">
        <v>314</v>
      </c>
      <c r="B273" s="17" t="n">
        <v>46160</v>
      </c>
      <c r="C273" s="17" t="n">
        <v>46136</v>
      </c>
      <c r="D273" s="18" t="str">
        <f>IF(OR(C273="",B273=""),"",B273-C273)</f>
      </c>
      <c r="E273" s="19" t="n">
        <v>427289.239697672</v>
      </c>
      <c r="F273" s="21" t="n">
        <v>35.628167045256</v>
      </c>
      <c r="G273" s="20" t="n">
        <v>271797.029861639</v>
      </c>
      <c r="H273" s="22" t="n">
        <v>22.6629390179975</v>
      </c>
      <c r="I273" s="25" t="n">
        <v>164084.097441529</v>
      </c>
      <c r="J273" s="26" t="n">
        <v>13.6816355058536</v>
      </c>
      <c r="K273" s="23" t="str">
        <f>=HYPERLINK("https://ucloud.univie.ac.at/index.php/f/1515117663","Open Cytogram")</f>
      </c>
      <c r="L273" s="14" t="s">
        <v>314</v>
      </c>
      <c r="M273" s="24" t="s">
        <v>314</v>
      </c>
      <c r="N273" s="24" t="s">
        <v>314</v>
      </c>
      <c r="O273" s="24" t="s">
        <v>598</v>
      </c>
    </row>
    <row r="274">
      <c r="A274" s="4" t="s">
        <v>645</v>
      </c>
      <c r="B274" s="5" t="n">
        <v>46142</v>
      </c>
      <c r="C274" s="5" t="n">
        <v>46136</v>
      </c>
      <c r="D274" s="6" t="str">
        <f>IF(OR(C274="",B274=""),"",B274-C274)</f>
      </c>
      <c r="E274" s="7" t="n">
        <v>4867228.15185702</v>
      </c>
      <c r="F274" s="9" t="n">
        <v>41.719989231948</v>
      </c>
      <c r="G274" s="8" t="n">
        <v>3481975.44809228</v>
      </c>
      <c r="H274" s="10" t="n">
        <v>29.846141102897</v>
      </c>
      <c r="I274" s="11" t="n">
        <v>1190776.17315249</v>
      </c>
      <c r="J274" s="12" t="n">
        <v>10.2068708454992</v>
      </c>
      <c r="K274" s="13" t="str">
        <f>=HYPERLINK("https://ucloud.univie.ac.at/index.php/f/1514656058","Open Cytogram")</f>
      </c>
      <c r="L274" s="2" t="s">
        <v>314</v>
      </c>
      <c r="M274" s="3" t="s">
        <v>314</v>
      </c>
      <c r="N274" s="3" t="s">
        <v>314</v>
      </c>
      <c r="O274" s="3" t="s">
        <v>529</v>
      </c>
    </row>
    <row r="275">
      <c r="A275" s="4" t="s">
        <v>314</v>
      </c>
      <c r="B275" s="5" t="n">
        <v>46153</v>
      </c>
      <c r="C275" s="5" t="n">
        <v>46136</v>
      </c>
      <c r="D275" s="6" t="str">
        <f>IF(OR(C275="",B275=""),"",B275-C275)</f>
      </c>
      <c r="E275" s="7" t="n">
        <v>3382202.88780729</v>
      </c>
      <c r="F275" s="9" t="n">
        <v>31.6636752726771</v>
      </c>
      <c r="G275" s="8" t="n">
        <v>2733900.63373906</v>
      </c>
      <c r="H275" s="10" t="n">
        <v>25.5943669750104</v>
      </c>
      <c r="I275" s="11" t="n">
        <v>2105065.14435167</v>
      </c>
      <c r="J275" s="12" t="n">
        <v>19.7073036034792</v>
      </c>
      <c r="K275" s="13" t="str">
        <f>=HYPERLINK("https://ucloud.univie.ac.at/index.php/f/1514656058","Open Cytogram")</f>
      </c>
      <c r="L275" s="2" t="s">
        <v>314</v>
      </c>
      <c r="M275" t="s">
        <v>314</v>
      </c>
      <c r="N275" t="s">
        <v>314</v>
      </c>
      <c r="O275" t="s">
        <v>529</v>
      </c>
    </row>
    <row r="276">
      <c r="A276" s="16" t="s">
        <v>314</v>
      </c>
      <c r="B276" s="17" t="n">
        <v>46160</v>
      </c>
      <c r="C276" s="17" t="n">
        <v>46136</v>
      </c>
      <c r="D276" s="18" t="str">
        <f>IF(OR(C276="",B276=""),"",B276-C276)</f>
      </c>
      <c r="E276" s="19" t="n">
        <v>5330698.15625434</v>
      </c>
      <c r="F276" s="21" t="n">
        <v>30.7386516250336</v>
      </c>
      <c r="G276" s="20" t="n">
        <v>8323043.92309966</v>
      </c>
      <c r="H276" s="22" t="n">
        <v>47.9935535858179</v>
      </c>
      <c r="I276" s="25" t="n">
        <v>3036131.64824063</v>
      </c>
      <c r="J276" s="26" t="n">
        <v>17.5073865162503</v>
      </c>
      <c r="K276" s="23" t="str">
        <f>=HYPERLINK("https://ucloud.univie.ac.at/index.php/f/1515117663","Open Cytogram")</f>
      </c>
      <c r="L276" s="14" t="s">
        <v>314</v>
      </c>
      <c r="M276" s="15" t="s">
        <v>314</v>
      </c>
      <c r="N276" s="15" t="s">
        <v>314</v>
      </c>
      <c r="O276" s="15" t="s">
        <v>598</v>
      </c>
    </row>
    <row r="277">
      <c r="A277" s="4" t="s">
        <v>646</v>
      </c>
      <c r="B277" s="5" t="n">
        <v>46181</v>
      </c>
      <c r="C277" s="5" t="n">
        <v>46174</v>
      </c>
      <c r="D277" s="6" t="str">
        <f>IF(OR(C277="",B277=""),"",B277-C277)</f>
      </c>
      <c r="E277" s="7" t="n">
        <v>2000249.66206587</v>
      </c>
      <c r="F277" s="9" t="n">
        <v>25.8353808353808</v>
      </c>
      <c r="G277" s="8" t="n">
        <v>956847.912524138</v>
      </c>
      <c r="H277" s="10" t="n">
        <v>12.3587223587224</v>
      </c>
      <c r="I277" s="11" t="n">
        <v>2211402.97874614</v>
      </c>
      <c r="J277" s="12" t="n">
        <v>28.5626535626536</v>
      </c>
      <c r="K277" s="13" t="str">
        <f>=HYPERLINK("https://ucloud.univie.ac.at/index.php/f/1518571913","Open Cytogram")</f>
      </c>
      <c r="L277" s="2" t="s">
        <v>314</v>
      </c>
      <c r="M277" t="s">
        <v>314</v>
      </c>
      <c r="N277" t="s">
        <v>314</v>
      </c>
      <c r="O277" t="s">
        <v>534</v>
      </c>
    </row>
    <row r="278">
      <c r="A278" s="4" t="s">
        <v>314</v>
      </c>
      <c r="B278" s="5" t="n">
        <v>46188</v>
      </c>
      <c r="C278" s="5" t="n">
        <v>46174</v>
      </c>
      <c r="D278" s="6" t="str">
        <f>IF(OR(C278="",B278=""),"",B278-C278)</f>
      </c>
      <c r="E278" s="7" t="n">
        <v>572104.523711261</v>
      </c>
      <c r="F278" s="9" t="n">
        <v>57.6351496877019</v>
      </c>
      <c r="G278" s="8" t="n">
        <v>242438.912514413</v>
      </c>
      <c r="H278" s="10" t="n">
        <v>24.4238638811114</v>
      </c>
      <c r="I278" s="11" t="n">
        <v>123357.365538639</v>
      </c>
      <c r="J278" s="12" t="n">
        <v>12.4273099289253</v>
      </c>
      <c r="K278" s="13" t="str">
        <f>=HYPERLINK("https://ucloud.univie.ac.at/index.php/f/1525440666","Open Cytogram")</f>
      </c>
      <c r="L278" s="2" t="s">
        <v>314</v>
      </c>
      <c r="M278" s="3" t="s">
        <v>314</v>
      </c>
      <c r="N278" s="3" t="s">
        <v>314</v>
      </c>
      <c r="O278" s="3" t="s">
        <v>537</v>
      </c>
    </row>
    <row r="279">
      <c r="A279" s="16" t="s">
        <v>314</v>
      </c>
      <c r="B279" s="17" t="n">
        <v>46196</v>
      </c>
      <c r="C279" s="17" t="n">
        <v>46174</v>
      </c>
      <c r="D279" s="18" t="str">
        <f>IF(OR(C279="",B279=""),"",B279-C279)</f>
      </c>
      <c r="E279" s="19" t="n">
        <v>1563098.16723213</v>
      </c>
      <c r="F279" s="21" t="n">
        <v>55.0134529147982</v>
      </c>
      <c r="G279" s="20" t="n">
        <v>270624.429996824</v>
      </c>
      <c r="H279" s="22" t="n">
        <v>9.52466367713004</v>
      </c>
      <c r="I279" s="25" t="n">
        <v>627379.799107516</v>
      </c>
      <c r="J279" s="26" t="n">
        <v>22.0807174887892</v>
      </c>
      <c r="K279" s="23" t="str">
        <f>=HYPERLINK("https://ucloud.univie.ac.at/index.php/f/1543029432","Open Cytogram")</f>
      </c>
      <c r="L279" s="14" t="s">
        <v>314</v>
      </c>
      <c r="M279" s="24" t="s">
        <v>314</v>
      </c>
      <c r="N279" s="24" t="s">
        <v>314</v>
      </c>
      <c r="O279" s="24" t="s">
        <v>552</v>
      </c>
    </row>
    <row r="280">
      <c r="A280" s="4" t="s">
        <v>647</v>
      </c>
      <c r="B280" s="5" t="n">
        <v>46181</v>
      </c>
      <c r="C280" s="5" t="n">
        <v>46174</v>
      </c>
      <c r="D280" s="6" t="str">
        <f>IF(OR(C280="",B280=""),"",B280-C280)</f>
      </c>
      <c r="E280" s="7" t="n">
        <v>307249.50866842</v>
      </c>
      <c r="F280" s="9" t="n">
        <v>24.9422632794457</v>
      </c>
      <c r="G280" s="8" t="n">
        <v>173757.913021884</v>
      </c>
      <c r="H280" s="10" t="n">
        <v>14.1055249600284</v>
      </c>
      <c r="I280" s="11" t="n">
        <v>393690.787816586</v>
      </c>
      <c r="J280" s="12" t="n">
        <v>31.9594954698881</v>
      </c>
      <c r="K280" s="13" t="str">
        <f>=HYPERLINK("https://ucloud.univie.ac.at/index.php/f/1518571913","Open Cytogram")</f>
      </c>
      <c r="L280" s="2" t="s">
        <v>314</v>
      </c>
      <c r="M280" s="3" t="s">
        <v>314</v>
      </c>
      <c r="N280" s="3" t="s">
        <v>314</v>
      </c>
      <c r="O280" s="3" t="s">
        <v>534</v>
      </c>
    </row>
    <row r="281">
      <c r="A281" s="4" t="s">
        <v>314</v>
      </c>
      <c r="B281" s="5" t="n">
        <v>46188</v>
      </c>
      <c r="C281" s="5" t="n">
        <v>46174</v>
      </c>
      <c r="D281" s="6" t="str">
        <f>IF(OR(C281="",B281=""),"",B281-C281)</f>
      </c>
      <c r="E281" s="7" t="n">
        <v>279765.638623918</v>
      </c>
      <c r="F281" s="9" t="n">
        <v>60.4353393085788</v>
      </c>
      <c r="G281" s="8" t="n">
        <v>77646.8191943501</v>
      </c>
      <c r="H281" s="10" t="n">
        <v>16.7733674775928</v>
      </c>
      <c r="I281" s="11" t="n">
        <v>68360.8128275958</v>
      </c>
      <c r="J281" s="12" t="n">
        <v>14.767392232181</v>
      </c>
      <c r="K281" s="13" t="str">
        <f>=HYPERLINK("https://ucloud.univie.ac.at/index.php/f/1525440666","Open Cytogram")</f>
      </c>
      <c r="L281" s="2" t="s">
        <v>314</v>
      </c>
      <c r="M281" t="s">
        <v>314</v>
      </c>
      <c r="N281" t="s">
        <v>314</v>
      </c>
      <c r="O281" t="s">
        <v>537</v>
      </c>
    </row>
    <row r="282">
      <c r="A282" s="16" t="s">
        <v>314</v>
      </c>
      <c r="B282" s="17" t="n">
        <v>46196</v>
      </c>
      <c r="C282" s="17" t="n">
        <v>46174</v>
      </c>
      <c r="D282" s="18" t="str">
        <f>IF(OR(C282="",B282=""),"",B282-C282)</f>
      </c>
      <c r="E282" s="19" t="n">
        <v>230759.983197063</v>
      </c>
      <c r="F282" s="21" t="n">
        <v>46.7820850583365</v>
      </c>
      <c r="G282" s="20" t="n">
        <v>8911.0854331931</v>
      </c>
      <c r="H282" s="22" t="n">
        <v>1.80654873917953</v>
      </c>
      <c r="I282" s="25" t="n">
        <v>134130.400530875</v>
      </c>
      <c r="J282" s="26" t="n">
        <v>27.1923221678585</v>
      </c>
      <c r="K282" s="23" t="str">
        <f>=HYPERLINK("https://ucloud.univie.ac.at/index.php/f/1537345796","Open Cytogram")</f>
      </c>
      <c r="L282" s="14" t="s">
        <v>314</v>
      </c>
      <c r="M282" s="15" t="s">
        <v>314</v>
      </c>
      <c r="N282" s="15" t="s">
        <v>314</v>
      </c>
      <c r="O282" s="15" t="s">
        <v>544</v>
      </c>
    </row>
    <row r="283">
      <c r="A283" s="4" t="s">
        <v>648</v>
      </c>
      <c r="B283" s="5" t="n">
        <v>46181</v>
      </c>
      <c r="C283" s="5" t="n">
        <v>46174</v>
      </c>
      <c r="D283" s="6" t="str">
        <f>IF(OR(C283="",B283=""),"",B283-C283)</f>
      </c>
      <c r="E283" s="7" t="n">
        <v>1473222.00318066</v>
      </c>
      <c r="F283" s="9" t="n">
        <v>20.3214851709305</v>
      </c>
      <c r="G283" s="8" t="n">
        <v>1917026.84905861</v>
      </c>
      <c r="H283" s="10" t="n">
        <v>26.4432872990718</v>
      </c>
      <c r="I283" s="11" t="n">
        <v>3032775.86617337</v>
      </c>
      <c r="J283" s="12" t="n">
        <v>41.83382386235</v>
      </c>
      <c r="K283" s="13" t="str">
        <f>=HYPERLINK("https://ucloud.univie.ac.at/index.php/f/1518571913","Open Cytogram")</f>
      </c>
      <c r="L283" s="2" t="s">
        <v>314</v>
      </c>
      <c r="M283" t="s">
        <v>314</v>
      </c>
      <c r="N283" t="s">
        <v>314</v>
      </c>
      <c r="O283" t="s">
        <v>534</v>
      </c>
    </row>
    <row r="284">
      <c r="A284" s="16" t="s">
        <v>314</v>
      </c>
      <c r="B284" s="17" t="n">
        <v>46188</v>
      </c>
      <c r="C284" s="17" t="n">
        <v>46174</v>
      </c>
      <c r="D284" s="18" t="str">
        <f>IF(OR(C284="",B284=""),"",B284-C284)</f>
      </c>
      <c r="E284" s="19" t="n">
        <v>2728314.58649401</v>
      </c>
      <c r="F284" s="21" t="n">
        <v>21.6397714743911</v>
      </c>
      <c r="G284" s="20" t="n">
        <v>5941045.07147005</v>
      </c>
      <c r="H284" s="22" t="n">
        <v>47.1217132738632</v>
      </c>
      <c r="I284" s="25" t="n">
        <v>3838680.07205804</v>
      </c>
      <c r="J284" s="26" t="n">
        <v>30.4466940630116</v>
      </c>
      <c r="K284" s="23" t="str">
        <f>=HYPERLINK("https://ucloud.univie.ac.at/index.php/f/1525440666","Open Cytogram")</f>
      </c>
      <c r="L284" s="14" t="s">
        <v>314</v>
      </c>
      <c r="M284" s="15" t="s">
        <v>314</v>
      </c>
      <c r="N284" s="15" t="s">
        <v>314</v>
      </c>
      <c r="O284" s="15" t="s">
        <v>537</v>
      </c>
    </row>
    <row r="285">
      <c r="A285" s="4" t="s">
        <v>649</v>
      </c>
      <c r="B285" s="5" t="n">
        <v>46204</v>
      </c>
      <c r="C285" s="5" t="n">
        <v>46197</v>
      </c>
      <c r="D285" s="6" t="str">
        <f>IF(OR(C285="",B285=""),"",B285-C285)</f>
      </c>
      <c r="E285" s="7" t="n">
        <v>592422.232571755</v>
      </c>
      <c r="F285" s="9" t="n">
        <v>43.0769230769231</v>
      </c>
      <c r="G285" s="8" t="n">
        <v>177089.033317682</v>
      </c>
      <c r="H285" s="10" t="n">
        <v>12.8767123287671</v>
      </c>
      <c r="I285" s="11" t="n">
        <v>347511.867345174</v>
      </c>
      <c r="J285" s="12" t="n">
        <v>25.2687038988409</v>
      </c>
      <c r="K285" s="13" t="str">
        <f>=HYPERLINK("https://ucloud.univie.ac.at/index.php/f/1543029432","Open Cytogram")</f>
      </c>
      <c r="L285" s="2" t="s">
        <v>314</v>
      </c>
      <c r="M285" t="s">
        <v>314</v>
      </c>
      <c r="N285" t="s">
        <v>314</v>
      </c>
      <c r="O285" t="s">
        <v>552</v>
      </c>
    </row>
    <row r="286">
      <c r="A286" s="4" t="s">
        <v>314</v>
      </c>
      <c r="B286" s="5" t="n">
        <v>46211</v>
      </c>
      <c r="C286" s="5" t="n">
        <v>46197</v>
      </c>
      <c r="D286" s="6" t="str">
        <f>IF(OR(C286="",B286=""),"",B286-C286)</f>
      </c>
      <c r="E286" s="7" t="n">
        <v>384318.183504008</v>
      </c>
      <c r="F286" s="9" t="n">
        <v>32.1014651213645</v>
      </c>
      <c r="G286" s="8" t="n">
        <v>279599.332412997</v>
      </c>
      <c r="H286" s="10" t="n">
        <v>23.3544719002843</v>
      </c>
      <c r="I286" s="11" t="n">
        <v>240067.966126141</v>
      </c>
      <c r="J286" s="12" t="n">
        <v>20.0524819593265</v>
      </c>
      <c r="K286" s="13" t="str">
        <f>=HYPERLINK("https://ucloud.univie.ac.at/index.php/f/1547934963","Open Cytogram")</f>
      </c>
      <c r="L286" s="2" t="s">
        <v>314</v>
      </c>
      <c r="M286" s="3" t="s">
        <v>314</v>
      </c>
      <c r="N286" s="3" t="s">
        <v>314</v>
      </c>
      <c r="O286" s="3" t="s">
        <v>553</v>
      </c>
    </row>
    <row r="287">
      <c r="A287" s="16" t="s">
        <v>314</v>
      </c>
      <c r="B287" s="17" t="n">
        <v>46218</v>
      </c>
      <c r="C287" s="17" t="n">
        <v>46197</v>
      </c>
      <c r="D287" s="18" t="str">
        <f>IF(OR(C287="",B287=""),"",B287-C287)</f>
      </c>
      <c r="E287" s="19" t="n">
        <v>588602.982249335</v>
      </c>
      <c r="F287" s="21" t="n">
        <v>35.1941430252321</v>
      </c>
      <c r="G287" s="20" t="n">
        <v>225645.719792464</v>
      </c>
      <c r="H287" s="22" t="n">
        <v>13.4919597332985</v>
      </c>
      <c r="I287" s="25" t="n">
        <v>514262.338131663</v>
      </c>
      <c r="J287" s="26" t="n">
        <v>30.7491175317035</v>
      </c>
      <c r="K287" s="23" t="str">
        <f>=HYPERLINK("https://ucloud.univie.ac.at/index.php/f/1552579888","Open Cytogram")</f>
      </c>
      <c r="L287" s="14" t="s">
        <v>314</v>
      </c>
      <c r="M287" s="24" t="s">
        <v>314</v>
      </c>
      <c r="N287" s="24" t="s">
        <v>314</v>
      </c>
      <c r="O287" s="24" t="s">
        <v>571</v>
      </c>
    </row>
    <row r="288">
      <c r="A288" s="4" t="s">
        <v>650</v>
      </c>
      <c r="B288" s="5" t="n">
        <v>46204</v>
      </c>
      <c r="C288" s="5" t="n">
        <v>46197</v>
      </c>
      <c r="D288" s="6" t="str">
        <f>IF(OR(C288="",B288=""),"",B288-C288)</f>
      </c>
      <c r="E288" s="7" t="n">
        <v>220316.282776124</v>
      </c>
      <c r="F288" s="9" t="n">
        <v>52.4084778420039</v>
      </c>
      <c r="G288" s="8" t="n">
        <v>35841.8952678069</v>
      </c>
      <c r="H288" s="10" t="n">
        <v>8.52601156069364</v>
      </c>
      <c r="I288" s="11" t="n">
        <v>81808.6197073107</v>
      </c>
      <c r="J288" s="12" t="n">
        <v>19.4605009633911</v>
      </c>
      <c r="K288" s="13" t="str">
        <f>=HYPERLINK("https://ucloud.univie.ac.at/index.php/f/1543029432","Open Cytogram")</f>
      </c>
      <c r="L288" s="2" t="s">
        <v>314</v>
      </c>
      <c r="M288" s="3" t="s">
        <v>314</v>
      </c>
      <c r="N288" s="3" t="s">
        <v>314</v>
      </c>
      <c r="O288" s="3" t="s">
        <v>552</v>
      </c>
    </row>
    <row r="289">
      <c r="A289" s="4" t="s">
        <v>314</v>
      </c>
      <c r="B289" s="5" t="n">
        <v>46211</v>
      </c>
      <c r="C289" s="5" t="n">
        <v>46197</v>
      </c>
      <c r="D289" s="6" t="str">
        <f>IF(OR(C289="",B289=""),"",B289-C289)</f>
      </c>
      <c r="E289" s="7" t="n">
        <v>363630.811325055</v>
      </c>
      <c r="F289" s="9" t="n">
        <v>44.8386302044839</v>
      </c>
      <c r="G289" s="8" t="n">
        <v>170626.765314064</v>
      </c>
      <c r="H289" s="10" t="n">
        <v>21.039664942104</v>
      </c>
      <c r="I289" s="11" t="n">
        <v>167430.010928789</v>
      </c>
      <c r="J289" s="12" t="n">
        <v>20.6454791820645</v>
      </c>
      <c r="K289" s="13" t="str">
        <f>=HYPERLINK("https://ucloud.univie.ac.at/index.php/f/1547934963","Open Cytogram")</f>
      </c>
      <c r="L289" s="2" t="s">
        <v>314</v>
      </c>
      <c r="M289" t="s">
        <v>314</v>
      </c>
      <c r="N289" t="s">
        <v>314</v>
      </c>
      <c r="O289" t="s">
        <v>553</v>
      </c>
    </row>
    <row r="290">
      <c r="A290" s="16" t="s">
        <v>314</v>
      </c>
      <c r="B290" s="17" t="n">
        <v>46218</v>
      </c>
      <c r="C290" s="17" t="n">
        <v>46197</v>
      </c>
      <c r="D290" s="18" t="str">
        <f>IF(OR(C290="",B290=""),"",B290-C290)</f>
      </c>
      <c r="E290" s="19" t="n">
        <v>424827.180936887</v>
      </c>
      <c r="F290" s="21" t="n">
        <v>32.7519983390429</v>
      </c>
      <c r="G290" s="20" t="n">
        <v>329762.841874623</v>
      </c>
      <c r="H290" s="22" t="n">
        <v>25.4230250181667</v>
      </c>
      <c r="I290" s="25" t="n">
        <v>309834.340201514</v>
      </c>
      <c r="J290" s="26" t="n">
        <v>23.8866396761134</v>
      </c>
      <c r="K290" s="23" t="str">
        <f>=HYPERLINK("https://ucloud.univie.ac.at/index.php/f/1552579888","Open Cytogram")</f>
      </c>
      <c r="L290" s="14" t="s">
        <v>314</v>
      </c>
      <c r="M290" s="15" t="s">
        <v>314</v>
      </c>
      <c r="N290" s="15" t="s">
        <v>314</v>
      </c>
      <c r="O290" s="15" t="s">
        <v>571</v>
      </c>
    </row>
    <row r="291">
      <c r="A291" s="4" t="s">
        <v>651</v>
      </c>
      <c r="B291" s="5" t="n">
        <v>46204</v>
      </c>
      <c r="C291" s="5" t="n">
        <v>46197</v>
      </c>
      <c r="D291" s="6" t="str">
        <f>IF(OR(C291="",B291=""),"",B291-C291)</f>
      </c>
      <c r="E291" s="7" t="n">
        <v>4334755.35224565</v>
      </c>
      <c r="F291" s="9" t="n">
        <v>24.7698785742264</v>
      </c>
      <c r="G291" s="8" t="n">
        <v>7529484.61313671</v>
      </c>
      <c r="H291" s="10" t="n">
        <v>43.0253623188406</v>
      </c>
      <c r="I291" s="11" t="n">
        <v>4323188.00746302</v>
      </c>
      <c r="J291" s="12" t="n">
        <v>24.7037798668233</v>
      </c>
      <c r="K291" s="13" t="str">
        <f>=HYPERLINK("https://ucloud.univie.ac.at/index.php/f/1543029432","Open Cytogram")</f>
      </c>
      <c r="L291" s="2" t="s">
        <v>314</v>
      </c>
      <c r="M291" t="s">
        <v>314</v>
      </c>
      <c r="N291" t="s">
        <v>314</v>
      </c>
      <c r="O291" t="s">
        <v>552</v>
      </c>
    </row>
    <row r="292">
      <c r="A292" s="4" t="s">
        <v>314</v>
      </c>
      <c r="B292" s="5" t="n">
        <v>46211</v>
      </c>
      <c r="C292" s="5" t="n">
        <v>46197</v>
      </c>
      <c r="D292" s="6" t="str">
        <f>IF(OR(C292="",B292=""),"",B292-C292)</f>
      </c>
      <c r="E292" s="7" t="n">
        <v>3858941.64675212</v>
      </c>
      <c r="F292" s="9" t="n">
        <v>26.2621518808998</v>
      </c>
      <c r="G292" s="8" t="n">
        <v>4731205.99608951</v>
      </c>
      <c r="H292" s="10" t="n">
        <v>32.1983750528343</v>
      </c>
      <c r="I292" s="11" t="n">
        <v>5359871.20356289</v>
      </c>
      <c r="J292" s="12" t="n">
        <v>36.4767764053914</v>
      </c>
      <c r="K292" s="13" t="str">
        <f>=HYPERLINK("https://ucloud.univie.ac.at/index.php/f/1547934963","Open Cytogram")</f>
      </c>
      <c r="L292" s="2" t="s">
        <v>314</v>
      </c>
      <c r="M292" s="3" t="s">
        <v>314</v>
      </c>
      <c r="N292" s="3" t="s">
        <v>314</v>
      </c>
      <c r="O292" s="3" t="s">
        <v>553</v>
      </c>
    </row>
    <row r="293">
      <c r="A293" s="16" t="s">
        <v>314</v>
      </c>
      <c r="B293" s="17" t="n">
        <v>46218</v>
      </c>
      <c r="C293" s="17" t="n">
        <v>46197</v>
      </c>
      <c r="D293" s="18" t="str">
        <f>IF(OR(C293="",B293=""),"",B293-C293)</f>
      </c>
      <c r="E293" s="19" t="n">
        <v>2589029.41078061</v>
      </c>
      <c r="F293" s="21" t="n">
        <v>19.6324951644101</v>
      </c>
      <c r="G293" s="20" t="n">
        <v>4482549.4429016</v>
      </c>
      <c r="H293" s="22" t="n">
        <v>33.9909735654416</v>
      </c>
      <c r="I293" s="25" t="n">
        <v>5575978.61277479</v>
      </c>
      <c r="J293" s="26" t="n">
        <v>42.2823984526112</v>
      </c>
      <c r="K293" s="23" t="str">
        <f>=HYPERLINK("https://ucloud.univie.ac.at/index.php/f/1552579888","Open Cytogram")</f>
      </c>
      <c r="L293" s="14" t="s">
        <v>314</v>
      </c>
      <c r="M293" s="24" t="s">
        <v>314</v>
      </c>
      <c r="N293" s="24" t="s">
        <v>314</v>
      </c>
      <c r="O293" s="24" t="s">
        <v>571</v>
      </c>
    </row>
    <row r="294">
      <c r="A294" s="4" t="s">
        <v>652</v>
      </c>
      <c r="B294" s="5" t="n">
        <v>46233</v>
      </c>
      <c r="C294" s="5"/>
      <c r="D294" s="6" t="str">
        <f>IF(OR(C294="",B294=""),"",B294-C294)</f>
      </c>
      <c r="E294" s="7" t="n">
        <v>540735.624326981</v>
      </c>
      <c r="F294" s="9" t="n">
        <v>60.7701564380265</v>
      </c>
      <c r="G294" s="8" t="n">
        <v>1427.6848167049</v>
      </c>
      <c r="H294" s="10" t="n">
        <v>0.160449257922182</v>
      </c>
      <c r="I294" s="11" t="n">
        <v>1427.6848167049</v>
      </c>
      <c r="J294" s="12" t="n">
        <v>0.160449257922182</v>
      </c>
      <c r="K294" s="13" t="str">
        <f>=HYPERLINK("https://ucloud.univie.ac.at/index.php/f/1567856234","Open Cytogram")</f>
      </c>
      <c r="L294" s="2" t="s">
        <v>314</v>
      </c>
      <c r="M294" s="3" t="s">
        <v>314</v>
      </c>
      <c r="N294" s="3" t="s">
        <v>314</v>
      </c>
      <c r="O294" s="3" t="s">
        <v>558</v>
      </c>
    </row>
    <row r="295">
      <c r="A295" s="4" t="s">
        <v>314</v>
      </c>
      <c r="B295" s="5" t="n">
        <v>46239</v>
      </c>
      <c r="C295" s="5"/>
      <c r="D295" s="6" t="str">
        <f>IF(OR(C295="",B295=""),"",B295-C295)</f>
      </c>
      <c r="E295" s="7" t="n">
        <v>371416.629339743</v>
      </c>
      <c r="F295" s="9" t="n">
        <v>100.428954423593</v>
      </c>
      <c r="G295" s="8" t="n">
        <v>402351.490085605</v>
      </c>
      <c r="H295" s="10" t="n">
        <v>108.793565683646</v>
      </c>
      <c r="I295" s="11" t="n">
        <v>1197734.35195518</v>
      </c>
      <c r="J295" s="12" t="n">
        <v>323.860589812333</v>
      </c>
      <c r="K295" s="13" t="str">
        <f>=HYPERLINK("https://ucloud.univie.ac.at/index.php/f/1576432628","Open Cytogram")</f>
      </c>
      <c r="L295" s="2" t="s">
        <v>314</v>
      </c>
      <c r="M295" t="s">
        <v>314</v>
      </c>
      <c r="N295" t="s">
        <v>314</v>
      </c>
      <c r="O295" t="s">
        <v>559</v>
      </c>
    </row>
    <row r="296">
      <c r="A296" s="16" t="s">
        <v>314</v>
      </c>
      <c r="B296" s="17" t="n">
        <v>46244</v>
      </c>
      <c r="C296" s="17"/>
      <c r="D296" s="18" t="str">
        <f>IF(OR(C296="",B296=""),"",B296-C296)</f>
      </c>
      <c r="E296" s="19" t="n">
        <v>1685156.7090919</v>
      </c>
      <c r="F296" s="21" t="n">
        <v>49.5192587844531</v>
      </c>
      <c r="G296" s="20" t="n">
        <v>867960.80438871</v>
      </c>
      <c r="H296" s="22" t="n">
        <v>25.5055066721054</v>
      </c>
      <c r="I296" s="25" t="n">
        <v>573088.125356036</v>
      </c>
      <c r="J296" s="26" t="n">
        <v>16.8405104597634</v>
      </c>
      <c r="K296" s="23" t="str">
        <f>=HYPERLINK("https://ucloud.univie.ac.at/index.php/f/1576432628","Open Cytogram")</f>
      </c>
      <c r="L296" s="14" t="s">
        <v>314</v>
      </c>
      <c r="M296" s="15" t="s">
        <v>314</v>
      </c>
      <c r="N296" s="15" t="s">
        <v>314</v>
      </c>
      <c r="O296" s="15" t="s">
        <v>559</v>
      </c>
    </row>
    <row r="297">
      <c r="A297" s="4" t="s">
        <v>653</v>
      </c>
      <c r="B297" s="5" t="n">
        <v>46233</v>
      </c>
      <c r="C297" s="5"/>
      <c r="D297" s="6" t="str">
        <f>IF(OR(C297="",B297=""),"",B297-C297)</f>
      </c>
      <c r="E297" s="7" t="n">
        <v>269277.82667832</v>
      </c>
      <c r="F297" s="9" t="n">
        <v>47.4745134383689</v>
      </c>
      <c r="G297" s="8" t="n">
        <v>20632.8056556838</v>
      </c>
      <c r="H297" s="10" t="n">
        <v>3.63762743280816</v>
      </c>
      <c r="I297" s="11" t="n">
        <v>108946.470627783</v>
      </c>
      <c r="J297" s="12" t="n">
        <v>19.2075996292864</v>
      </c>
      <c r="K297" s="13" t="str">
        <f>=HYPERLINK("https://ucloud.univie.ac.at/index.php/f/1567856234","Open Cytogram")</f>
      </c>
      <c r="L297" s="2" t="s">
        <v>314</v>
      </c>
      <c r="M297" t="s">
        <v>314</v>
      </c>
      <c r="N297" t="s">
        <v>314</v>
      </c>
      <c r="O297" t="s">
        <v>558</v>
      </c>
    </row>
    <row r="298">
      <c r="A298" s="4" t="s">
        <v>314</v>
      </c>
      <c r="B298" s="5" t="n">
        <v>46239</v>
      </c>
      <c r="C298" s="5"/>
      <c r="D298" s="6" t="str">
        <f>IF(OR(C298="",B298=""),"",B298-C298)</f>
      </c>
      <c r="E298" s="7" t="n">
        <v>466879.07487924</v>
      </c>
      <c r="F298" s="9" t="n">
        <v>56.2541037426133</v>
      </c>
      <c r="G298" s="8" t="n">
        <v>142366.102494545</v>
      </c>
      <c r="H298" s="10" t="n">
        <v>17.1536441234406</v>
      </c>
      <c r="I298" s="11" t="n">
        <v>137189.153312925</v>
      </c>
      <c r="J298" s="12" t="n">
        <v>16.5298752462246</v>
      </c>
      <c r="K298" s="13" t="str">
        <f>=HYPERLINK("https://ucloud.univie.ac.at/index.php/f/1576432628","Open Cytogram")</f>
      </c>
      <c r="L298" s="2" t="s">
        <v>314</v>
      </c>
      <c r="M298" s="3" t="s">
        <v>314</v>
      </c>
      <c r="N298" s="3" t="s">
        <v>314</v>
      </c>
      <c r="O298" s="3" t="s">
        <v>559</v>
      </c>
    </row>
    <row r="299">
      <c r="A299" s="16" t="s">
        <v>314</v>
      </c>
      <c r="B299" s="17" t="n">
        <v>46244</v>
      </c>
      <c r="C299" s="17"/>
      <c r="D299" s="18" t="str">
        <f>IF(OR(C299="",B299=""),"",B299-C299)</f>
      </c>
      <c r="E299" s="19" t="n">
        <v>732402.073694426</v>
      </c>
      <c r="F299" s="21" t="n">
        <v>49.5666605200074</v>
      </c>
      <c r="G299" s="20" t="n">
        <v>535133.062773754</v>
      </c>
      <c r="H299" s="22" t="n">
        <v>36.2161165406601</v>
      </c>
      <c r="I299" s="25" t="n">
        <v>120840.892739389</v>
      </c>
      <c r="J299" s="26" t="n">
        <v>8.17813018624378</v>
      </c>
      <c r="K299" s="23" t="str">
        <f>=HYPERLINK("https://ucloud.univie.ac.at/index.php/f/1576432628","Open Cytogram")</f>
      </c>
      <c r="L299" s="14" t="s">
        <v>314</v>
      </c>
      <c r="M299" s="24" t="s">
        <v>314</v>
      </c>
      <c r="N299" s="24" t="s">
        <v>314</v>
      </c>
      <c r="O299" s="24" t="s">
        <v>559</v>
      </c>
    </row>
    <row r="300">
      <c r="A300" s="4" t="s">
        <v>654</v>
      </c>
      <c r="B300" s="5" t="n">
        <v>46233</v>
      </c>
      <c r="C300" s="5"/>
      <c r="D300" s="6" t="str">
        <f>IF(OR(C300="",B300=""),"",B300-C300)</f>
      </c>
      <c r="E300" s="7" t="n">
        <v>2454026.52649593</v>
      </c>
      <c r="F300" s="9" t="n">
        <v>2700.85470085475</v>
      </c>
      <c r="G300" s="8" t="n">
        <v>2271527.71835462</v>
      </c>
      <c r="H300" s="10" t="n">
        <v>2500.00000000005</v>
      </c>
      <c r="I300" s="11" t="n">
        <v>3472136.89872257</v>
      </c>
      <c r="J300" s="12" t="n">
        <v>3821.3675213676</v>
      </c>
      <c r="K300" s="13" t="str">
        <f>=HYPERLINK("https://ucloud.univie.ac.at/index.php/f/1567856234","Open Cytogram")</f>
      </c>
      <c r="L300" s="2" t="s">
        <v>314</v>
      </c>
      <c r="M300" s="3" t="s">
        <v>314</v>
      </c>
      <c r="N300" s="3" t="s">
        <v>314</v>
      </c>
      <c r="O300" s="3" t="s">
        <v>558</v>
      </c>
    </row>
    <row r="301">
      <c r="A301" s="4" t="s">
        <v>314</v>
      </c>
      <c r="B301" s="5" t="n">
        <v>46239</v>
      </c>
      <c r="C301" s="5"/>
      <c r="D301" s="6" t="str">
        <f>IF(OR(C301="",B301=""),"",B301-C301)</f>
      </c>
      <c r="E301" s="7" t="n">
        <v>4036829.69984775</v>
      </c>
      <c r="F301" s="9" t="n">
        <v>28.8757104027675</v>
      </c>
      <c r="G301" s="8" t="n">
        <v>6207584.26375698</v>
      </c>
      <c r="H301" s="10" t="n">
        <v>44.4032616753151</v>
      </c>
      <c r="I301" s="11" t="n">
        <v>3058539.29166969</v>
      </c>
      <c r="J301" s="12" t="n">
        <v>21.8779342723005</v>
      </c>
      <c r="K301" s="13" t="str">
        <f>=HYPERLINK("https://ucloud.univie.ac.at/index.php/f/1576432628","Open Cytogram")</f>
      </c>
      <c r="L301" s="2" t="s">
        <v>314</v>
      </c>
      <c r="M301" t="s">
        <v>314</v>
      </c>
      <c r="N301" t="s">
        <v>314</v>
      </c>
      <c r="O301" t="s">
        <v>559</v>
      </c>
    </row>
    <row r="302">
      <c r="A302" s="16" t="s">
        <v>314</v>
      </c>
      <c r="B302" s="17" t="n">
        <v>46244</v>
      </c>
      <c r="C302" s="17"/>
      <c r="D302" s="18" t="str">
        <f>IF(OR(C302="",B302=""),"",B302-C302)</f>
      </c>
      <c r="E302" s="19" t="n">
        <v>4454123.066048</v>
      </c>
      <c r="F302" s="21" t="n">
        <v>30.1261682242991</v>
      </c>
      <c r="G302" s="20" t="n">
        <v>5645896.33872254</v>
      </c>
      <c r="H302" s="22" t="n">
        <v>38.1869158878505</v>
      </c>
      <c r="I302" s="25" t="n">
        <v>3902107.50380628</v>
      </c>
      <c r="J302" s="26" t="n">
        <v>26.392523364486</v>
      </c>
      <c r="K302" s="23" t="str">
        <f>=HYPERLINK("https://ucloud.univie.ac.at/index.php/f/1576432628","Open Cytogram")</f>
      </c>
      <c r="L302" s="14" t="s">
        <v>314</v>
      </c>
      <c r="M302" s="15" t="s">
        <v>314</v>
      </c>
      <c r="N302" s="15" t="s">
        <v>314</v>
      </c>
      <c r="O302" s="15" t="s">
        <v>559</v>
      </c>
    </row>
    <row r="303">
      <c r="A303" s="4" t="s">
        <v>655</v>
      </c>
      <c r="B303" s="5" t="n">
        <v>46218</v>
      </c>
      <c r="C303" s="5"/>
      <c r="D303" s="6" t="str">
        <f>IF(OR(C303="",B303=""),"",B303-C303)</f>
      </c>
      <c r="E303" s="7" t="n">
        <v>4105100.71081565</v>
      </c>
      <c r="F303" s="9" t="n">
        <v>42.5263630244559</v>
      </c>
      <c r="G303" s="8" t="n">
        <v>4097303.74840194</v>
      </c>
      <c r="H303" s="10" t="n">
        <v>42.4455912048463</v>
      </c>
      <c r="I303" s="11" t="n">
        <v>1248813.47992841</v>
      </c>
      <c r="J303" s="12" t="n">
        <v>12.9369531074714</v>
      </c>
      <c r="K303" s="13" t="str">
        <f>=HYPERLINK("https://ucloud.univie.ac.at/index.php/f/1557416330","Open Cytogram")</f>
      </c>
      <c r="L303" s="2" t="s">
        <v>314</v>
      </c>
      <c r="M303" t="s">
        <v>314</v>
      </c>
      <c r="N303" t="s">
        <v>314</v>
      </c>
      <c r="O303" t="s">
        <v>656</v>
      </c>
    </row>
    <row r="304">
      <c r="A304" s="4" t="s">
        <v>314</v>
      </c>
      <c r="B304" s="5" t="n">
        <v>46231</v>
      </c>
      <c r="C304" s="5"/>
      <c r="D304" s="6" t="str">
        <f>IF(OR(C304="",B304=""),"",B304-C304)</f>
      </c>
      <c r="E304" s="7" t="n">
        <v>6637509.73951025</v>
      </c>
      <c r="F304" s="9" t="n">
        <v>23.1485852768074</v>
      </c>
      <c r="G304" s="8" t="n">
        <v>19999164.2878704</v>
      </c>
      <c r="H304" s="10" t="n">
        <v>69.7478991596639</v>
      </c>
      <c r="I304" s="11" t="n">
        <v>1322087.25606832</v>
      </c>
      <c r="J304" s="12" t="n">
        <v>4.61083309728386</v>
      </c>
      <c r="K304" s="13" t="str">
        <f>=HYPERLINK("https://ucloud.univie.ac.at/index.php/f/1563063010","Open Cytogram")</f>
      </c>
      <c r="L304" s="2" t="s">
        <v>314</v>
      </c>
      <c r="M304" s="3" t="s">
        <v>314</v>
      </c>
      <c r="N304" s="3" t="s">
        <v>314</v>
      </c>
      <c r="O304" s="3" t="s">
        <v>556</v>
      </c>
    </row>
    <row r="305">
      <c r="A305" s="4" t="s">
        <v>314</v>
      </c>
      <c r="B305" s="5" t="n">
        <v>46238</v>
      </c>
      <c r="C305" s="5"/>
      <c r="D305" s="6" t="str">
        <f>IF(OR(C305="",B305=""),"",B305-C305)</f>
      </c>
      <c r="E305" s="7" t="n">
        <v>8264477.94144611</v>
      </c>
      <c r="F305" s="9" t="n">
        <v>48.4321667501024</v>
      </c>
      <c r="G305" s="8" t="n">
        <v>5801132.32687487</v>
      </c>
      <c r="H305" s="10" t="n">
        <v>33.9962681472716</v>
      </c>
      <c r="I305" s="11" t="n">
        <v>2174453.8842369</v>
      </c>
      <c r="J305" s="12" t="n">
        <v>12.7429117553361</v>
      </c>
      <c r="K305" s="13" t="str">
        <f>=HYPERLINK("https://ucloud.univie.ac.at/index.php/f/1567856234","Open Cytogram")</f>
      </c>
      <c r="L305" s="2" t="s">
        <v>314</v>
      </c>
      <c r="M305" t="s">
        <v>314</v>
      </c>
      <c r="N305" t="s">
        <v>314</v>
      </c>
      <c r="O305" t="s">
        <v>558</v>
      </c>
    </row>
    <row r="306">
      <c r="A306" s="16" t="s">
        <v>314</v>
      </c>
      <c r="B306" s="17" t="n">
        <v>46247</v>
      </c>
      <c r="C306" s="17"/>
      <c r="D306" s="18" t="str">
        <f>IF(OR(C306="",B306=""),"",B306-C306)</f>
      </c>
      <c r="E306" s="19" t="n">
        <v>17622850.9746901</v>
      </c>
      <c r="F306" s="21" t="n">
        <v>45.9747579953437</v>
      </c>
      <c r="G306" s="20" t="n">
        <v>10542710.9002637</v>
      </c>
      <c r="H306" s="22" t="n">
        <v>27.5039823551035</v>
      </c>
      <c r="I306" s="25" t="n">
        <v>8533367.71077212</v>
      </c>
      <c r="J306" s="26" t="n">
        <v>22.2619776988114</v>
      </c>
      <c r="K306" s="23" t="str">
        <f>=HYPERLINK("https://ucloud.univie.ac.at/index.php/f/1576432628","Open Cytogram")</f>
      </c>
      <c r="L306" s="14" t="s">
        <v>314</v>
      </c>
      <c r="M306" s="15" t="s">
        <v>314</v>
      </c>
      <c r="N306" s="15" t="s">
        <v>314</v>
      </c>
      <c r="O306" s="15" t="s">
        <v>559</v>
      </c>
    </row>
    <row r="307">
      <c r="A307" s="16" t="s">
        <v>657</v>
      </c>
      <c r="B307" s="17" t="n">
        <v>46247</v>
      </c>
      <c r="C307" s="17"/>
      <c r="D307" s="18" t="str">
        <f>IF(OR(C307="",B307=""),"",B307-C307)</f>
      </c>
      <c r="E307" s="19" t="n">
        <v>10324556.398173</v>
      </c>
      <c r="F307" s="21" t="n">
        <v>42.1218783471447</v>
      </c>
      <c r="G307" s="20" t="n">
        <v>8911700.54737911</v>
      </c>
      <c r="H307" s="22" t="n">
        <v>36.3577428265404</v>
      </c>
      <c r="I307" s="25" t="n">
        <v>3827492.133691</v>
      </c>
      <c r="J307" s="26" t="n">
        <v>15.6153108968938</v>
      </c>
      <c r="K307" s="23" t="str">
        <f>=HYPERLINK("https://ucloud.univie.ac.at/index.php/f/1576432628","Open Cytogram")</f>
      </c>
      <c r="L307" s="14" t="s">
        <v>314</v>
      </c>
      <c r="M307" s="24" t="s">
        <v>314</v>
      </c>
      <c r="N307" s="24" t="s">
        <v>314</v>
      </c>
      <c r="O307" s="24" t="s">
        <v>559</v>
      </c>
    </row>
    <row r="308">
      <c r="A308" s="16" t="s">
        <v>658</v>
      </c>
      <c r="B308" s="17" t="n">
        <v>46218</v>
      </c>
      <c r="C308" s="17"/>
      <c r="D308" s="18" t="str">
        <f>IF(OR(C308="",B308=""),"",B308-C308)</f>
      </c>
      <c r="E308" s="19" t="n">
        <v>27118063.7200121</v>
      </c>
      <c r="F308" s="21" t="n">
        <v>51.4120833064672</v>
      </c>
      <c r="G308" s="20" t="n">
        <v>10813555.3518252</v>
      </c>
      <c r="H308" s="22" t="n">
        <v>20.5009994196918</v>
      </c>
      <c r="I308" s="25" t="n">
        <v>13617699.5215311</v>
      </c>
      <c r="J308" s="26" t="n">
        <v>25.8172673931266</v>
      </c>
      <c r="K308" s="23" t="str">
        <f>=HYPERLINK("https://ucloud.univie.ac.at/index.php/f/1557416330","Open Cytogram")</f>
      </c>
      <c r="L308" s="14" t="s">
        <v>314</v>
      </c>
      <c r="M308" s="15" t="s">
        <v>314</v>
      </c>
      <c r="N308" s="15" t="s">
        <v>314</v>
      </c>
      <c r="O308" s="15" t="s">
        <v>656</v>
      </c>
    </row>
    <row r="309">
      <c r="A309" s="16" t="s">
        <v>659</v>
      </c>
      <c r="B309" s="17" t="n">
        <v>46189</v>
      </c>
      <c r="C309" s="17"/>
      <c r="D309" s="18" t="str">
        <f>IF(OR(C309="",B309=""),"",B309-C309)</f>
      </c>
      <c r="E309" s="19"/>
      <c r="F309" s="21"/>
      <c r="G309" s="20"/>
      <c r="H309" s="22"/>
      <c r="I309" s="25"/>
      <c r="J309" s="26"/>
      <c r="K309" s="23" t="str">
        <f>=HYPERLINK("https://ucloud.univie.ac.at/index.php/f/1537345796","Open Cytogram")</f>
      </c>
      <c r="L309" s="14" t="s">
        <v>314</v>
      </c>
      <c r="M309" s="24" t="s">
        <v>314</v>
      </c>
      <c r="N309" s="24" t="s">
        <v>314</v>
      </c>
      <c r="O309" s="24" t="s">
        <v>544</v>
      </c>
    </row>
    <row r="310">
      <c r="A310" s="16" t="s">
        <v>660</v>
      </c>
      <c r="B310" s="17" t="n">
        <v>46189</v>
      </c>
      <c r="C310" s="17"/>
      <c r="D310" s="18" t="str">
        <f>IF(OR(C310="",B310=""),"",B310-C310)</f>
      </c>
      <c r="E310" s="19" t="n">
        <v>158914.356891943</v>
      </c>
      <c r="F310" s="21" t="n">
        <v>5.96058770280621</v>
      </c>
      <c r="G310" s="20" t="n">
        <v>1754369.94465988</v>
      </c>
      <c r="H310" s="22" t="n">
        <v>65.8032170461667</v>
      </c>
      <c r="I310" s="25" t="n">
        <v>56808.1696366058</v>
      </c>
      <c r="J310" s="26" t="n">
        <v>2.1307708376854</v>
      </c>
      <c r="K310" s="23" t="str">
        <f>=HYPERLINK("https://ucloud.univie.ac.at/index.php/f/1537345796","Open Cytogram")</f>
      </c>
      <c r="L310" s="14" t="s">
        <v>314</v>
      </c>
      <c r="M310" s="15" t="s">
        <v>314</v>
      </c>
      <c r="N310" s="15" t="s">
        <v>314</v>
      </c>
      <c r="O310" s="15" t="s">
        <v>544</v>
      </c>
    </row>
    <row r="311">
      <c r="A311" s="16" t="s">
        <v>504</v>
      </c>
      <c r="B311" s="17" t="n">
        <v>46195</v>
      </c>
      <c r="C311" s="17"/>
      <c r="D311" s="18" t="str">
        <f>IF(OR(C311="",B311=""),"",B311-C311)</f>
      </c>
      <c r="E311" s="19" t="n">
        <v>703350.704345747</v>
      </c>
      <c r="F311" s="21" t="n">
        <v>17.4858586413312</v>
      </c>
      <c r="G311" s="20" t="n">
        <v>1021007.20963758</v>
      </c>
      <c r="H311" s="22" t="n">
        <v>25.3830523367565</v>
      </c>
      <c r="I311" s="25" t="n">
        <v>34018.8468810443</v>
      </c>
      <c r="J311" s="26" t="n">
        <v>0.845735625240266</v>
      </c>
      <c r="K311" s="23" t="str">
        <f>=HYPERLINK("https://ucloud.univie.ac.at/index.php/f/1537345796","Open Cytogram")</f>
      </c>
      <c r="L311" s="14" t="s">
        <v>314</v>
      </c>
      <c r="M311" s="24" t="s">
        <v>314</v>
      </c>
      <c r="N311" s="24" t="s">
        <v>314</v>
      </c>
      <c r="O311" s="24" t="s">
        <v>544</v>
      </c>
    </row>
    <row r="312">
      <c r="A312" s="16" t="s">
        <v>661</v>
      </c>
      <c r="B312" s="17" t="n">
        <v>46195</v>
      </c>
      <c r="C312" s="17"/>
      <c r="D312" s="18" t="str">
        <f>IF(OR(C312="",B312=""),"",B312-C312)</f>
      </c>
      <c r="E312" s="19" t="n">
        <v>204398.022123866</v>
      </c>
      <c r="F312" s="21" t="n">
        <v>12.1603711066932</v>
      </c>
      <c r="G312" s="20" t="n">
        <v>269560.33435409</v>
      </c>
      <c r="H312" s="22" t="n">
        <v>16.0371106693174</v>
      </c>
      <c r="I312" s="25" t="n">
        <v>12067.0948574489</v>
      </c>
      <c r="J312" s="26" t="n">
        <v>0.717914733819306</v>
      </c>
      <c r="K312" s="23" t="str">
        <f>=HYPERLINK("https://ucloud.univie.ac.at/index.php/f/1537345796","Open Cytogram")</f>
      </c>
      <c r="L312" s="14" t="s">
        <v>314</v>
      </c>
      <c r="M312" s="15" t="s">
        <v>314</v>
      </c>
      <c r="N312" s="15" t="s">
        <v>314</v>
      </c>
      <c r="O312" s="15" t="s">
        <v>544</v>
      </c>
    </row>
    <row r="313">
      <c r="A313" s="4" t="s">
        <v>662</v>
      </c>
      <c r="B313" s="5" t="n">
        <v>46212</v>
      </c>
      <c r="C313" s="5" t="n">
        <v>46212</v>
      </c>
      <c r="D313" s="6" t="str">
        <f>IF(OR(C313="",B313=""),"",B313-C313)</f>
      </c>
      <c r="E313" s="7" t="n">
        <v>2453974.82095128</v>
      </c>
      <c r="F313" s="9" t="n">
        <v>44.4852464682248</v>
      </c>
      <c r="G313" s="8" t="n">
        <v>585550.756052957</v>
      </c>
      <c r="H313" s="10" t="n">
        <v>10.614766492418</v>
      </c>
      <c r="I313" s="11" t="n">
        <v>2254978.12526377</v>
      </c>
      <c r="J313" s="12" t="n">
        <v>40.8778675422301</v>
      </c>
      <c r="K313" s="13" t="str">
        <f>=HYPERLINK("https://ucloud.univie.ac.at/index.php/f/1552579888","Open Cytogram")</f>
      </c>
      <c r="L313" s="2" t="s">
        <v>314</v>
      </c>
      <c r="M313" t="s">
        <v>314</v>
      </c>
      <c r="N313" t="s">
        <v>314</v>
      </c>
      <c r="O313" t="s">
        <v>571</v>
      </c>
    </row>
    <row r="314">
      <c r="A314" s="16" t="s">
        <v>314</v>
      </c>
      <c r="B314" s="17" t="n">
        <v>46219</v>
      </c>
      <c r="C314" s="17" t="n">
        <v>46212</v>
      </c>
      <c r="D314" s="18" t="str">
        <f>IF(OR(C314="",B314=""),"",B314-C314)</f>
      </c>
      <c r="E314" s="19" t="n">
        <v>4277784.18257499</v>
      </c>
      <c r="F314" s="21" t="n">
        <v>21.1986858473414</v>
      </c>
      <c r="G314" s="20" t="n">
        <v>3999721.77407779</v>
      </c>
      <c r="H314" s="22" t="n">
        <v>19.820739370355</v>
      </c>
      <c r="I314" s="25" t="n">
        <v>10875973.4175398</v>
      </c>
      <c r="J314" s="26" t="n">
        <v>53.8962074574974</v>
      </c>
      <c r="K314" s="23" t="str">
        <f>=HYPERLINK("https://ucloud.univie.ac.at/index.php/f/1552579888","Open Cytogram")</f>
      </c>
      <c r="L314" s="14" t="s">
        <v>314</v>
      </c>
      <c r="M314" s="15" t="s">
        <v>314</v>
      </c>
      <c r="N314" s="15" t="s">
        <v>314</v>
      </c>
      <c r="O314" s="15" t="s">
        <v>571</v>
      </c>
    </row>
    <row r="315">
      <c r="A315" s="4" t="s">
        <v>663</v>
      </c>
      <c r="B315" s="5" t="n">
        <v>46212</v>
      </c>
      <c r="C315" s="5" t="n">
        <v>46212</v>
      </c>
      <c r="D315" s="6" t="str">
        <f>IF(OR(C315="",B315=""),"",B315-C315)</f>
      </c>
      <c r="E315" s="7" t="n">
        <v>3606597.11240197</v>
      </c>
      <c r="F315" s="9" t="n">
        <v>51.2732688011914</v>
      </c>
      <c r="G315" s="8" t="n">
        <v>1150958.05322442</v>
      </c>
      <c r="H315" s="10" t="n">
        <v>16.3626209977662</v>
      </c>
      <c r="I315" s="11" t="n">
        <v>2008087.90719564</v>
      </c>
      <c r="J315" s="12" t="n">
        <v>28.548026805659</v>
      </c>
      <c r="K315" s="13" t="str">
        <f>=HYPERLINK("https://ucloud.univie.ac.at/index.php/f/1552579888","Open Cytogram")</f>
      </c>
      <c r="L315" s="2" t="s">
        <v>314</v>
      </c>
      <c r="M315" t="s">
        <v>314</v>
      </c>
      <c r="N315" t="s">
        <v>314</v>
      </c>
      <c r="O315" t="s">
        <v>571</v>
      </c>
    </row>
    <row r="316">
      <c r="A316" s="16" t="s">
        <v>314</v>
      </c>
      <c r="B316" s="17" t="n">
        <v>46219</v>
      </c>
      <c r="C316" s="17" t="n">
        <v>46212</v>
      </c>
      <c r="D316" s="18" t="str">
        <f>IF(OR(C316="",B316=""),"",B316-C316)</f>
      </c>
      <c r="E316" s="19" t="n">
        <v>5085581.22577866</v>
      </c>
      <c r="F316" s="21" t="n">
        <v>27.3665616016071</v>
      </c>
      <c r="G316" s="20" t="n">
        <v>3528560.47079086</v>
      </c>
      <c r="H316" s="22" t="n">
        <v>18.98791174535</v>
      </c>
      <c r="I316" s="25" t="n">
        <v>9308010.39184726</v>
      </c>
      <c r="J316" s="26" t="n">
        <v>50.0883239236604</v>
      </c>
      <c r="K316" s="23" t="str">
        <f>=HYPERLINK("https://ucloud.univie.ac.at/index.php/f/1552579888","Open Cytogram")</f>
      </c>
      <c r="L316" s="14" t="s">
        <v>314</v>
      </c>
      <c r="M316" s="15" t="s">
        <v>314</v>
      </c>
      <c r="N316" s="15" t="s">
        <v>314</v>
      </c>
      <c r="O316" s="15" t="s">
        <v>571</v>
      </c>
    </row>
    <row r="317">
      <c r="A317" s="4" t="s">
        <v>664</v>
      </c>
      <c r="B317" s="5" t="n">
        <v>46226</v>
      </c>
      <c r="C317" s="5"/>
      <c r="D317" s="6" t="str">
        <f>IF(OR(C317="",B317=""),"",B317-C317)</f>
      </c>
      <c r="E317" s="7" t="n">
        <v>20030749.9902338</v>
      </c>
      <c r="F317" s="9" t="n">
        <v>35.2849535013115</v>
      </c>
      <c r="G317" s="8" t="n">
        <v>25658419.702754</v>
      </c>
      <c r="H317" s="10" t="n">
        <v>45.1983149193228</v>
      </c>
      <c r="I317" s="11" t="n">
        <v>9835787.71596495</v>
      </c>
      <c r="J317" s="12" t="n">
        <v>17.3261266989905</v>
      </c>
      <c r="K317" s="13" t="str">
        <f>=HYPERLINK("https://ucloud.univie.ac.at/index.php/f/1563063010","Open Cytogram")</f>
      </c>
      <c r="L317" s="2" t="s">
        <v>314</v>
      </c>
      <c r="M317" t="s">
        <v>314</v>
      </c>
      <c r="N317" t="s">
        <v>314</v>
      </c>
      <c r="O317" t="s">
        <v>556</v>
      </c>
    </row>
    <row r="318">
      <c r="A318" s="16" t="s">
        <v>314</v>
      </c>
      <c r="B318" s="17" t="n">
        <v>46231</v>
      </c>
      <c r="C318" s="17"/>
      <c r="D318" s="18" t="str">
        <f>IF(OR(C318="",B318=""),"",B318-C318)</f>
      </c>
      <c r="E318" s="19" t="n">
        <v>8880997.0559511</v>
      </c>
      <c r="F318" s="21" t="n">
        <v>35.8245358572989</v>
      </c>
      <c r="G318" s="20" t="n">
        <v>9871885.66152313</v>
      </c>
      <c r="H318" s="22" t="n">
        <v>39.8216235893702</v>
      </c>
      <c r="I318" s="25" t="n">
        <v>5290153.9215512</v>
      </c>
      <c r="J318" s="26" t="n">
        <v>21.3396432471787</v>
      </c>
      <c r="K318" s="23" t="str">
        <f>=HYPERLINK("https://ucloud.univie.ac.at/index.php/f/1563063010","Open Cytogram")</f>
      </c>
      <c r="L318" s="14" t="s">
        <v>314</v>
      </c>
      <c r="M318" s="15" t="s">
        <v>314</v>
      </c>
      <c r="N318" s="15" t="s">
        <v>314</v>
      </c>
      <c r="O318" s="15" t="s">
        <v>556</v>
      </c>
    </row>
    <row r="319">
      <c r="A319" s="16" t="s">
        <v>665</v>
      </c>
      <c r="B319" s="17" t="n">
        <v>46211</v>
      </c>
      <c r="C319" s="17"/>
      <c r="D319" s="18" t="str">
        <f>IF(OR(C319="",B319=""),"",B319-C319)</f>
      </c>
      <c r="E319" s="19" t="n">
        <v>13048464.9151846</v>
      </c>
      <c r="F319" s="21" t="n">
        <v>44.7688802083333</v>
      </c>
      <c r="G319" s="20" t="n">
        <v>12635748.9813443</v>
      </c>
      <c r="H319" s="22" t="n">
        <v>43.3528645833333</v>
      </c>
      <c r="I319" s="25" t="n">
        <v>2088247.74800562</v>
      </c>
      <c r="J319" s="26" t="n">
        <v>7.16471354166667</v>
      </c>
      <c r="K319" s="23" t="str">
        <f>=HYPERLINK("https://ucloud.univie.ac.at/index.php/f/1547934963","Open Cytogram")</f>
      </c>
      <c r="L319" s="14" t="s">
        <v>314</v>
      </c>
      <c r="M319" s="24" t="s">
        <v>314</v>
      </c>
      <c r="N319" s="24" t="s">
        <v>666</v>
      </c>
      <c r="O319" s="24" t="s">
        <v>553</v>
      </c>
    </row>
    <row r="320">
      <c r="A320" s="4" t="s">
        <v>667</v>
      </c>
      <c r="B320" s="5" t="n">
        <v>46226</v>
      </c>
      <c r="C320" s="5"/>
      <c r="D320" s="6" t="str">
        <f>IF(OR(C320="",B320=""),"",B320-C320)</f>
      </c>
      <c r="E320" s="7" t="n">
        <v>3695737.51054259</v>
      </c>
      <c r="F320" s="9" t="n">
        <v>22.64631043257</v>
      </c>
      <c r="G320" s="8" t="n">
        <v>6709659.00337362</v>
      </c>
      <c r="H320" s="10" t="n">
        <v>41.1146679799721</v>
      </c>
      <c r="I320" s="11" t="n">
        <v>5204707.53795332</v>
      </c>
      <c r="J320" s="12" t="n">
        <v>31.892801444636</v>
      </c>
      <c r="K320" s="13" t="str">
        <f>=HYPERLINK("https://ucloud.univie.ac.at/index.php/f/1563063010","Open Cytogram")</f>
      </c>
      <c r="L320" s="2" t="s">
        <v>314</v>
      </c>
      <c r="M320" s="3" t="s">
        <v>314</v>
      </c>
      <c r="N320" s="3" t="s">
        <v>314</v>
      </c>
      <c r="O320" s="3" t="s">
        <v>556</v>
      </c>
    </row>
    <row r="321">
      <c r="A321" s="16" t="s">
        <v>314</v>
      </c>
      <c r="B321" s="17" t="n">
        <v>46231</v>
      </c>
      <c r="C321" s="17"/>
      <c r="D321" s="18" t="str">
        <f>IF(OR(C321="",B321=""),"",B321-C321)</f>
      </c>
      <c r="E321" s="19" t="n">
        <v>4709084.89246555</v>
      </c>
      <c r="F321" s="21" t="n">
        <v>25.1358501358501</v>
      </c>
      <c r="G321" s="20" t="n">
        <v>8249438.00604441</v>
      </c>
      <c r="H321" s="22" t="n">
        <v>44.033319033319</v>
      </c>
      <c r="I321" s="25" t="n">
        <v>4902645.62833848</v>
      </c>
      <c r="J321" s="26" t="n">
        <v>26.1690261690262</v>
      </c>
      <c r="K321" s="23" t="str">
        <f>=HYPERLINK("https://ucloud.univie.ac.at/index.php/f/1563063010","Open Cytogram")</f>
      </c>
      <c r="L321" s="14" t="s">
        <v>314</v>
      </c>
      <c r="M321" s="24" t="s">
        <v>314</v>
      </c>
      <c r="N321" s="24" t="s">
        <v>314</v>
      </c>
      <c r="O321" s="24" t="s">
        <v>556</v>
      </c>
    </row>
    <row r="322">
      <c r="A322" s="4" t="s">
        <v>668</v>
      </c>
      <c r="B322" s="5" t="n">
        <v>46211</v>
      </c>
      <c r="C322" s="5"/>
      <c r="D322" s="6" t="str">
        <f>IF(OR(C322="",B322=""),"",B322-C322)</f>
      </c>
      <c r="E322" s="7" t="n">
        <v>12306525.0065338</v>
      </c>
      <c r="F322" s="9" t="n">
        <v>34.0464066355189</v>
      </c>
      <c r="G322" s="8" t="n">
        <v>20678491.4437904</v>
      </c>
      <c r="H322" s="10" t="n">
        <v>57.2077274397606</v>
      </c>
      <c r="I322" s="11" t="n">
        <v>1704943.7542781</v>
      </c>
      <c r="J322" s="12" t="n">
        <v>4.71678303323009</v>
      </c>
      <c r="K322" s="13" t="str">
        <f>=HYPERLINK("https://ucloud.univie.ac.at/index.php/f/1547934963","Open Cytogram")</f>
      </c>
      <c r="L322" s="2" t="s">
        <v>314</v>
      </c>
      <c r="M322" s="3" t="s">
        <v>314</v>
      </c>
      <c r="N322" s="3" t="s">
        <v>666</v>
      </c>
      <c r="O322" s="3" t="s">
        <v>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Gabriel Thornes (gabrielt95)</cp:lastModifiedBy>
  <cp:revision>26</cp:revision>
  <dcterms:created xsi:type="dcterms:W3CDTF">2026-06-18T20:18:43Z</dcterms:created>
  <dcterms:modified xsi:type="dcterms:W3CDTF">2026-08-05T13:18:51Z</dcterms:modified>
</cp:coreProperties>
</file>