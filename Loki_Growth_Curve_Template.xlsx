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Thesis (PC)\Schleper Lab FACs\"/>
    </mc:Choice>
  </mc:AlternateContent>
  <xr:revisionPtr revIDLastSave="0" documentId="13_ncr:1_{CF64A5B9-4EE8-410F-A82C-5DC6CD80669F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B35_Growth" sheetId="1" r:id="rId1"/>
    <sheet name="B36_Growth" sheetId="2" r:id="rId2"/>
  </sheets>
  <calcPr calcId="191029"/>
  <pivotCaches>
    <pivotCache cacheId="14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<sst xmlns="http://schemas.openxmlformats.org/spreadsheetml/2006/main" count="36" uniqueCount="20">
  <si>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Culture ID</t>
  </si>
  <si>
    <t>Age (days)</t>
  </si>
  <si>
    <t>Loki mL-1</t>
  </si>
  <si>
    <t>Loki %</t>
  </si>
  <si>
    <t>DSV/Spiro mL-1</t>
  </si>
  <si>
    <t>DSV/Spiro %</t>
  </si>
  <si>
    <t>Izemo mL-1</t>
  </si>
  <si>
    <t>Izemo %</t>
  </si>
  <si>
    <t>802a</t>
  </si>
  <si>
    <t>802b</t>
  </si>
  <si>
    <t>802c</t>
  </si>
  <si>
    <t>802d</t>
  </si>
  <si>
    <t>801c</t>
  </si>
  <si>
    <t>825a</t>
  </si>
  <si>
    <t>825b</t>
  </si>
  <si>
    <t>Row Labels</t>
  </si>
  <si>
    <t>Grand Total</t>
  </si>
  <si>
    <t>Sum of Loki mL-1</t>
  </si>
  <si>
    <t>Sum of DSV/Spiro mL-1</t>
  </si>
  <si>
    <t>Sum of DSV/Spiro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</si>
</sst>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Cell</a:t>
            </a:r>
            <a:r>
              <a:rPr lang="en-GB" baseline="0"/>
              <a:t> count (cells ml</a:t>
            </a:r>
            <a:r>
              <a:rPr lang="en-GB" baseline="30000"/>
              <a:t>-1</a:t>
            </a:r>
            <a:r>
              <a:rPr lang="en-GB" baseline="0"/>
              <a:t>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55769552321738"/>
          <c:y val="9.587190090447327E-2"/>
          <c:w val="0.7087844271085596"/>
          <c:h val="0.80494943760115134"/>
        </c:manualLayout>
      </c:layout>
      <c:scatterChart>
        <c:scatterStyle val="lineMarker"/>
        <c:varyColors val="0"/>
        <c:ser>
          <c:idx val="0"/>
          <c:order val="0"/>
          <c:tx>
            <c:strRef>
              <c:f>B35_Growth!$C$1</c:f>
              <c:strCache>
                <c:ptCount val="1"/>
                <c:pt idx="0">
                  <c:v>Loki mL-1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B35_Growth!$B$2:$B$4</c:f>
              <c:numCache>
                <c:formatCode>General</c:formatCode>
                <c:ptCount val="3"/>
                <c:pt idx="0">
                  <c:v>38</c:v>
                </c:pt>
                <c:pt idx="1">
                  <c:v>47</c:v>
                </c:pt>
                <c:pt idx="2">
                  <c:v>7</c:v>
                </c:pt>
              </c:numCache>
            </c:numRef>
          </c:xVal>
          <c:yVal>
            <c:numRef>
              <c:f>B35_Growth!$C$2:$C$4</c:f>
              <c:numCache>
                <c:formatCode>General</c:formatCode>
                <c:ptCount val="3"/>
                <c:pt idx="0">
                  <c:v>1707069.4452597599</c:v>
                </c:pt>
                <c:pt idx="1">
                  <c:v>4669759.8308668099</c:v>
                </c:pt>
                <c:pt idx="2">
                  <c:v>4209951.8657601597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4-4E8C-9C88-572F958B002F}"/>
            </c:ext>
          </c:extLst>
        </c:ser>
        <c:ser>
          <c:idx val="1"/>
          <c:order val="1"/>
          <c:tx>
            <c:strRef>
              <c:f>B35_Growth!$E$1</c:f>
              <c:strCache>
                <c:ptCount val="1"/>
                <c:pt idx="0">
                  <c:v>DSV/Spiro mL-1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B35_Growth!$B$2:$B$4</c:f>
              <c:numCache>
                <c:formatCode>General</c:formatCode>
                <c:ptCount val="3"/>
                <c:pt idx="0">
                  <c:v>38</c:v>
                </c:pt>
                <c:pt idx="1">
                  <c:v>47</c:v>
                </c:pt>
                <c:pt idx="2">
                  <c:v>7</c:v>
                </c:pt>
              </c:numCache>
            </c:numRef>
          </c:xVal>
          <c:yVal>
            <c:numRef>
              <c:f>B35_Growth!$E$2:$E$4</c:f>
              <c:numCache>
                <c:formatCode>General</c:formatCode>
                <c:ptCount val="3"/>
                <c:pt idx="0">
                  <c:v>1441069.0930437299</c:v>
                </c:pt>
                <c:pt idx="1">
                  <c:v>5628552.6427061297</c:v>
                </c:pt>
                <c:pt idx="2">
                  <c:v>12332547.5967019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C4-4E8C-9C88-572F958B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759407"/>
        <c:axId val="670761807"/>
      </c:scatterChart>
      <c:valAx>
        <c:axId val="67075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61807"/>
        <c:crosses val="autoZero"/>
        <c:crossBetween val="midCat"/>
      </c:valAx>
      <c:valAx>
        <c:axId val="67076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Cell count (cells/ml</a:t>
                </a:r>
                <a:r>
                  <a:rPr lang="en-GB" baseline="30000"/>
                  <a:t>-1</a:t>
                </a:r>
                <a:r>
                  <a:rPr lang="en-GB" baseline="0"/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59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Cell</a:t>
            </a:r>
            <a:r>
              <a:rPr lang="en-GB" baseline="0"/>
              <a:t> abundance (%)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855769552321738"/>
          <c:y val="9.587190090447327E-2"/>
          <c:w val="0.7087844271085596"/>
          <c:h val="0.80494943760115134"/>
        </c:manualLayout>
      </c:layout>
      <c:scatterChart>
        <c:scatterStyle val="lineMarker"/>
        <c:varyColors val="0"/>
        <c:ser>
          <c:idx val="0"/>
          <c:order val="0"/>
          <c:tx>
            <c:strRef>
              <c:f>B35_Growth!$D$1</c:f>
              <c:strCache>
                <c:ptCount val="1"/>
                <c:pt idx="0">
                  <c:v>Loki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B35_Growth!$B$2:$B$7</c:f>
              <c:numCache>
                <c:formatCode>General</c:formatCode>
                <c:ptCount val="6"/>
                <c:pt idx="0">
                  <c:v>38</c:v>
                </c:pt>
                <c:pt idx="1">
                  <c:v>47</c:v>
                </c:pt>
                <c:pt idx="2">
                  <c:v>7</c:v>
                </c:pt>
                <c:pt idx="3">
                  <c:v>16</c:v>
                </c:pt>
                <c:pt idx="4">
                  <c:v>7</c:v>
                </c:pt>
                <c:pt idx="5">
                  <c:v>16</c:v>
                </c:pt>
              </c:numCache>
            </c:numRef>
          </c:xVal>
          <c:yVal>
            <c:numRef>
              <c:f>B35_Growth!$D$2:$D$7</c:f>
              <c:numCache>
                <c:formatCode>General</c:formatCode>
                <c:ptCount val="6"/>
                <c:pt idx="0">
                  <c:v>40.371651122987203</c:v>
                </c:pt>
                <c:pt idx="1">
                  <c:v>37.776200004303</c:v>
                </c:pt>
                <c:pt idx="2">
                  <c:v>22.379590113961498</c:v>
                </c:pt>
                <c:pt idx="3">
                  <c:v>52.096954809811102</c:v>
                </c:pt>
                <c:pt idx="4">
                  <c:v>22.730013783597499</c:v>
                </c:pt>
                <c:pt idx="5">
                  <c:v>49.598073355680697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E-4FCF-BBF1-47D2E9EADB1B}"/>
            </c:ext>
          </c:extLst>
        </c:ser>
        <c:ser>
          <c:idx val="1"/>
          <c:order val="1"/>
          <c:tx>
            <c:strRef>
              <c:f>B35_Growth!$F$1</c:f>
              <c:strCache>
                <c:ptCount val="1"/>
                <c:pt idx="0">
                  <c:v>DSV/Spiro 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B35_Growth!$B$2:$B$7</c:f>
              <c:numCache>
                <c:formatCode>General</c:formatCode>
                <c:ptCount val="6"/>
                <c:pt idx="0">
                  <c:v>38</c:v>
                </c:pt>
                <c:pt idx="1">
                  <c:v>47</c:v>
                </c:pt>
                <c:pt idx="2">
                  <c:v>7</c:v>
                </c:pt>
                <c:pt idx="3">
                  <c:v>16</c:v>
                </c:pt>
                <c:pt idx="4">
                  <c:v>7</c:v>
                </c:pt>
                <c:pt idx="5">
                  <c:v>16</c:v>
                </c:pt>
              </c:numCache>
            </c:numRef>
          </c:xVal>
          <c:yVal>
            <c:numRef>
              <c:f>B35_Growth!$F$2:$F$7</c:f>
              <c:numCache>
                <c:formatCode>General</c:formatCode>
                <c:ptCount val="6"/>
                <c:pt idx="0">
                  <c:v>34.080827133326302</c:v>
                </c:pt>
                <c:pt idx="1">
                  <c:v>45.532390972267002</c:v>
                </c:pt>
                <c:pt idx="2">
                  <c:v>65.558317309947</c:v>
                </c:pt>
                <c:pt idx="3">
                  <c:v>41.556189719322298</c:v>
                </c:pt>
                <c:pt idx="4">
                  <c:v>65.149035148173695</c:v>
                </c:pt>
                <c:pt idx="5">
                  <c:v>43.879975266052703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BE-4FCF-BBF1-47D2E9EAD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759407"/>
        <c:axId val="670761807"/>
      </c:scatterChart>
      <c:valAx>
        <c:axId val="67075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61807"/>
        <c:crosses val="autoZero"/>
        <c:crossBetween val="midCat"/>
      </c:valAx>
      <c:valAx>
        <c:axId val="67076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Cell abundance (%</a:t>
                </a:r>
                <a:r>
                  <a:rPr lang="en-GB" baseline="0"/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59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64147453073192"/>
          <c:y val="6.7094946465025201E-2"/>
          <c:w val="0.7087844271085596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B36_Growth!$C$1</c:f>
              <c:strCache>
                <c:ptCount val="1"/>
                <c:pt idx="0">
                  <c:v>Loki mL-1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B36_Growth!$B$2:$B$9</c:f>
              <c:numCache>
                <c:formatCode>General</c:formatCode>
                <c:ptCount val="8"/>
                <c:pt idx="0">
                  <c:v>38</c:v>
                </c:pt>
                <c:pt idx="1">
                  <c:v>47</c:v>
                </c:pt>
                <c:pt idx="2">
                  <c:v>38</c:v>
                </c:pt>
                <c:pt idx="3">
                  <c:v>47</c:v>
                </c:pt>
                <c:pt idx="4">
                  <c:v>38</c:v>
                </c:pt>
                <c:pt idx="5">
                  <c:v>47</c:v>
                </c:pt>
                <c:pt idx="6">
                  <c:v>38</c:v>
                </c:pt>
                <c:pt idx="7">
                  <c:v>47</c:v>
                </c:pt>
              </c:numCache>
            </c:numRef>
          </c:xVal>
          <c:yVal>
            <c:numRef>
              <c:f>B36_Growth!$C$2:$C$9</c:f>
              <c:numCache>
                <c:formatCode>General</c:formatCode>
                <c:ptCount val="8"/>
                <c:pt idx="0">
                  <c:v>996025.91291769105</c:v>
                </c:pt>
                <c:pt idx="1">
                  <c:v>6200762.6856379705</c:v>
                </c:pt>
                <c:pt idx="2">
                  <c:v>4142967.5445035701</c:v>
                </c:pt>
                <c:pt idx="3">
                  <c:v>5402309.3322526095</c:v>
                </c:pt>
                <c:pt idx="4">
                  <c:v>6619518.5836119903</c:v>
                </c:pt>
                <c:pt idx="5">
                  <c:v>7198736.3175382903</c:v>
                </c:pt>
                <c:pt idx="6">
                  <c:v>0</c:v>
                </c:pt>
                <c:pt idx="7">
                  <c:v>7047234.9120241404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B-4AFB-8276-94C1EBC56017}"/>
            </c:ext>
          </c:extLst>
        </c:ser>
        <c:ser>
          <c:idx val="1"/>
          <c:order val="1"/>
          <c:tx>
            <c:strRef>
              <c:f>B36_Growth!$E$1</c:f>
              <c:strCache>
                <c:ptCount val="1"/>
                <c:pt idx="0">
                  <c:v>DSV/Spiro mL-1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B36_Growth!$B$2:$B$9</c:f>
              <c:numCache>
                <c:formatCode>General</c:formatCode>
                <c:ptCount val="8"/>
                <c:pt idx="0">
                  <c:v>38</c:v>
                </c:pt>
                <c:pt idx="1">
                  <c:v>47</c:v>
                </c:pt>
                <c:pt idx="2">
                  <c:v>38</c:v>
                </c:pt>
                <c:pt idx="3">
                  <c:v>47</c:v>
                </c:pt>
                <c:pt idx="4">
                  <c:v>38</c:v>
                </c:pt>
                <c:pt idx="5">
                  <c:v>47</c:v>
                </c:pt>
                <c:pt idx="6">
                  <c:v>38</c:v>
                </c:pt>
                <c:pt idx="7">
                  <c:v>47</c:v>
                </c:pt>
              </c:numCache>
            </c:numRef>
          </c:xVal>
          <c:yVal>
            <c:numRef>
              <c:f>B36_Growth!$E$2:$E$9</c:f>
              <c:numCache>
                <c:formatCode>General</c:formatCode>
                <c:ptCount val="8"/>
                <c:pt idx="0">
                  <c:v>640050.30985100497</c:v>
                </c:pt>
                <c:pt idx="1">
                  <c:v>2030565.5210802699</c:v>
                </c:pt>
                <c:pt idx="2">
                  <c:v>2012898.1189208999</c:v>
                </c:pt>
                <c:pt idx="3">
                  <c:v>1552982.4663513999</c:v>
                </c:pt>
                <c:pt idx="4">
                  <c:v>4177628.3070223099</c:v>
                </c:pt>
                <c:pt idx="5">
                  <c:v>2958558.1597701199</c:v>
                </c:pt>
                <c:pt idx="6">
                  <c:v>17992.009780783501</c:v>
                </c:pt>
                <c:pt idx="7">
                  <c:v>2779883.2834880799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EB-4AFB-8276-94C1EBC56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759407"/>
        <c:axId val="670761807"/>
      </c:scatterChart>
      <c:valAx>
        <c:axId val="670759407"/>
        <c:scaling>
          <c:orientation val="minMax"/>
          <c:min val="3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61807"/>
        <c:crosses val="autoZero"/>
        <c:crossBetween val="midCat"/>
      </c:valAx>
      <c:valAx>
        <c:axId val="67076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Cell count (cells/ml</a:t>
                </a:r>
                <a:r>
                  <a:rPr lang="en-GB" baseline="30000"/>
                  <a:t>-1</a:t>
                </a:r>
                <a:r>
                  <a:rPr lang="en-GB" baseline="0"/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59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114301</xdr:rowOff>
    </xdr:from>
    <xdr:to>
      <xdr:col>18</xdr:col>
      <xdr:colOff>266699</xdr:colOff>
      <xdr:row>23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4F2767-4D70-47F9-A6A3-40506FFCC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209550</xdr:colOff>
      <xdr:row>24</xdr:row>
      <xdr:rowOff>9525</xdr:rowOff>
    </xdr:from>
    <xdr:to>
      <xdr:col>18</xdr:col>
      <xdr:colOff>333374</xdr:colOff>
      <xdr:row>46</xdr:row>
      <xdr:rowOff>174624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7CFE3A-AB24-4EDA-BB40-228625D0B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88900</xdr:rowOff>
    </xdr:from>
    <xdr:to>
      <xdr:col>18</xdr:col>
      <xdr:colOff>374649</xdr:colOff>
      <xdr:row>21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638728-0863-AA91-4667-4786D4E7D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Thornes" refreshedDate="46189.584660416665" createdVersion="8" refreshedVersion="8" minRefreshableVersion="3" recordCount="6" xr:uid="{339D1212-8D43-4DFC-B285-58291A0C5CD3}">
  <cacheSource type="worksheet">
    <worksheetSource ref="A1:F7" sheet="B35_Growth"/>
  </cacheSource>
  <cacheFields count="6">
    <cacheField name="Culture ID" numFmtId="0">
      <sharedItems count="3">
        <s v="801c"/>
        <s v="825a"/>
        <s v="825b"/>
      </sharedItems>
    </cacheField>
    <cacheField name="Age (days)" numFmtId="0">
      <sharedItems containsSemiMixedTypes="0" containsString="0" containsNumber="1" containsInteger="1" minValue="7" maxValue="47" count="4">
        <n v="38"/>
        <n v="47"/>
        <n v="7"/>
        <n v="16"/>
      </sharedItems>
    </cacheField>
    <cacheField name="Loki mL-1" numFmtId="0">
      <sharedItems containsSemiMixedTypes="0" containsString="0" containsNumber="1" minValue="1707069.4452597599" maxValue="6389766.0228227004" count="6">
        <n v="1707069.4452597599"/>
        <n v="4669759.8308668099"/>
        <n v="4209951.8657601597"/>
        <n v="6389766.0228227004"/>
        <n v="2327736.37841747"/>
        <n v="6165684.0999188097"/>
      </sharedItems>
    </cacheField>
    <cacheField name="Loki %" numFmtId="0">
      <sharedItems containsSemiMixedTypes="0" containsString="0" containsNumber="1" minValue="22.379590113961498" maxValue="52.096954809811102"/>
    </cacheField>
    <cacheField name="DSV/Spiro mL-1" numFmtId="0">
      <sharedItems containsSemiMixedTypes="0" containsString="0" containsNumber="1" minValue="1441069.0930437299" maxValue="12332547.5967019" count="6">
        <n v="1441069.0930437299"/>
        <n v="5628552.6427061297"/>
        <n v="12332547.5967019"/>
        <n v="5096926.10779035"/>
        <n v="6671785.6212932104"/>
        <n v="5454850.3096591402"/>
      </sharedItems>
    </cacheField>
    <cacheField name="DSV/Spiro %" numFmtId="0">
      <sharedItems containsSemiMixedTypes="0" containsString="0" containsNumber="1" minValue="34.080827133326302" maxValue="65.558317309947" count="6">
        <n v="34.080827133326302"/>
        <n v="45.532390972267002"/>
        <n v="65.558317309947"/>
        <n v="41.556189719322298"/>
        <n v="65.149035148173695"/>
        <n v="43.8799752660527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n v="40.371651122987203"/>
    <x v="0"/>
    <x v="0"/>
  </r>
  <r>
    <x v="0"/>
    <x v="1"/>
    <x v="1"/>
    <n v="37.776200004303"/>
    <x v="1"/>
    <x v="1"/>
  </r>
  <r>
    <x v="1"/>
    <x v="2"/>
    <x v="2"/>
    <n v="22.379590113961498"/>
    <x v="2"/>
    <x v="2"/>
  </r>
  <r>
    <x v="1"/>
    <x v="3"/>
    <x v="3"/>
    <n v="52.096954809811102"/>
    <x v="3"/>
    <x v="3"/>
  </r>
  <r>
    <x v="2"/>
    <x v="2"/>
    <x v="4"/>
    <n v="22.730013783597499"/>
    <x v="4"/>
    <x v="4"/>
  </r>
  <r>
    <x v="2"/>
    <x v="3"/>
    <x v="5"/>
    <n v="49.598073355680697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5F2C5-B2D2-46B2-9BDE-23D8062E2D2B}" name="PivotTable6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23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dataField="1" showAll="0">
      <items count="7">
        <item x="0"/>
        <item x="4"/>
        <item x="2"/>
        <item x="1"/>
        <item x="5"/>
        <item x="3"/>
        <item t="default"/>
      </items>
    </pivotField>
    <pivotField showAll="0"/>
    <pivotField dataField="1" showAll="0">
      <items count="7">
        <item x="0"/>
        <item x="3"/>
        <item x="5"/>
        <item x="1"/>
        <item x="4"/>
        <item x="2"/>
        <item t="default"/>
      </items>
    </pivotField>
    <pivotField dataField="1" showAll="0">
      <items count="7">
        <item x="0"/>
        <item x="3"/>
        <item x="5"/>
        <item x="1"/>
        <item x="4"/>
        <item x="2"/>
        <item t="default"/>
      </items>
    </pivotField>
  </pivotFields>
  <rowFields count="2">
    <field x="0"/>
    <field x="1"/>
  </rowFields>
  <rowItems count="10">
    <i>
      <x/>
    </i>
    <i r="1">
      <x v="2"/>
    </i>
    <i r="1">
      <x v="3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oki mL-1" fld="2" baseField="0" baseItem="0"/>
    <dataField name="Sum of DSV/Spiro mL-1" fld="4" baseField="0" baseItem="0"/>
    <dataField name="Sum of DSV/Spiro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Normal="100" workbookViewId="0">
      <selection activeCell="G12" sqref="G12"/>
    </sheetView>
  </sheetViews>
  <sheetFormatPr defaultRowHeight="14.5" x14ac:dyDescent="0.35"/>
  <cols>
    <col min="1" max="1" width="12.6328125" bestFit="1" customWidth="1"/>
    <col min="2" max="2" width="15.26953125" bestFit="1" customWidth="1"/>
    <col min="3" max="3" width="20.7265625" bestFit="1" customWidth="1"/>
    <col min="4" max="4" width="18" bestFit="1" customWidth="1"/>
    <col min="5" max="5" width="20.7265625" bestFit="1" customWidth="1"/>
    <col min="6" max="6" width="15.26953125" bestFit="1" customWidth="1"/>
    <col min="7" max="7" width="20.7265625" bestFit="1" customWidth="1"/>
    <col min="8" max="8" width="15.26953125" bestFit="1" customWidth="1"/>
    <col min="9" max="9" width="20.7265625" bestFit="1" customWidth="1"/>
    <col min="10" max="10" width="15.26953125" bestFit="1" customWidth="1"/>
    <col min="11" max="11" width="20.7265625" bestFit="1" customWidth="1"/>
    <col min="12" max="12" width="15.26953125" bestFit="1" customWidth="1"/>
    <col min="13" max="13" width="20.7265625" bestFit="1" customWidth="1"/>
    <col min="14" max="14" width="20" bestFit="1" customWidth="1"/>
    <col min="15" max="15" width="25.453125" bestFit="1" customWidth="1"/>
    <col min="16" max="16" width="21.36328125" bestFit="1" customWidth="1"/>
    <col min="17" max="17" width="13.6328125" bestFit="1" customWidth="1"/>
    <col min="18" max="18" width="21.36328125" bestFit="1" customWidth="1"/>
    <col min="19" max="19" width="20.26953125" bestFit="1" customWidth="1"/>
    <col min="20" max="20" width="10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12</v>
      </c>
      <c r="B2">
        <v>38</v>
      </c>
      <c r="C2">
        <v>1707069.4452597599</v>
      </c>
      <c r="D2">
        <v>40.371651122987203</v>
      </c>
      <c r="E2">
        <v>1441069.0930437299</v>
      </c>
      <c r="F2">
        <v>34.080827133326302</v>
      </c>
    </row>
    <row r="3" spans="1:6" x14ac:dyDescent="0.35">
      <c r="A3" t="s">
        <v>12</v>
      </c>
      <c r="B3">
        <v>47</v>
      </c>
      <c r="C3">
        <v>4669759.8308668099</v>
      </c>
      <c r="D3">
        <v>37.776200004303</v>
      </c>
      <c r="E3">
        <v>5628552.6427061297</v>
      </c>
      <c r="F3">
        <v>45.532390972267002</v>
      </c>
    </row>
    <row r="4" spans="1:6" x14ac:dyDescent="0.35">
      <c r="A4" t="s">
        <v>13</v>
      </c>
      <c r="B4">
        <v>7</v>
      </c>
      <c r="C4">
        <v>4209951.8657601597</v>
      </c>
      <c r="D4">
        <v>22.379590113961498</v>
      </c>
      <c r="E4">
        <v>12332547.5967019</v>
      </c>
      <c r="F4">
        <v>65.558317309947</v>
      </c>
    </row>
    <row r="5" spans="1:6" x14ac:dyDescent="0.35">
      <c r="A5" t="s">
        <v>13</v>
      </c>
      <c r="B5">
        <v>16</v>
      </c>
      <c r="C5">
        <v>6389766.0228227004</v>
      </c>
      <c r="D5">
        <v>52.096954809811102</v>
      </c>
      <c r="E5">
        <v>5096926.10779035</v>
      </c>
      <c r="F5">
        <v>41.556189719322298</v>
      </c>
    </row>
    <row r="6" spans="1:6" x14ac:dyDescent="0.35">
      <c r="A6" t="s">
        <v>14</v>
      </c>
      <c r="B6">
        <v>7</v>
      </c>
      <c r="C6">
        <v>2327736.37841747</v>
      </c>
      <c r="D6">
        <v>22.730013783597499</v>
      </c>
      <c r="E6">
        <v>6671785.6212932104</v>
      </c>
      <c r="F6">
        <v>65.149035148173695</v>
      </c>
    </row>
    <row r="7" spans="1:6" x14ac:dyDescent="0.35">
      <c r="A7" t="s">
        <v>14</v>
      </c>
      <c r="B7">
        <v>16</v>
      </c>
      <c r="C7">
        <v>6165684.0999188097</v>
      </c>
      <c r="D7">
        <v>49.598073355680697</v>
      </c>
      <c r="E7">
        <v>5454850.3096591402</v>
      </c>
      <c r="F7">
        <v>43.879975266052703</v>
      </c>
    </row>
    <row r="13" spans="1:6" x14ac:dyDescent="0.35">
      <c r="A13" s="2" t="s">
        <v>15</v>
      </c>
      <c r="B13" t="s">
        <v>17</v>
      </c>
      <c r="C13" t="s">
        <v>18</v>
      </c>
      <c r="D13" t="s">
        <v>19</v>
      </c>
    </row>
    <row r="14" spans="1:6" x14ac:dyDescent="0.35">
      <c r="A14" s="3" t="s">
        <v>12</v>
      </c>
      <c r="B14" s="4">
        <v>6376829.2761265701</v>
      </c>
      <c r="C14" s="4">
        <v>7069621.7357498594</v>
      </c>
      <c r="D14" s="4">
        <v>79.613218105593305</v>
      </c>
    </row>
    <row r="15" spans="1:6" x14ac:dyDescent="0.35">
      <c r="A15" s="5">
        <v>38</v>
      </c>
      <c r="B15" s="4">
        <v>1707069.4452597599</v>
      </c>
      <c r="C15" s="4">
        <v>1441069.0930437299</v>
      </c>
      <c r="D15" s="4">
        <v>34.080827133326302</v>
      </c>
    </row>
    <row r="16" spans="1:6" x14ac:dyDescent="0.35">
      <c r="A16" s="5">
        <v>47</v>
      </c>
      <c r="B16" s="4">
        <v>4669759.8308668099</v>
      </c>
      <c r="C16" s="4">
        <v>5628552.6427061297</v>
      </c>
      <c r="D16" s="4">
        <v>45.532390972267002</v>
      </c>
    </row>
    <row r="17" spans="1:4" x14ac:dyDescent="0.35">
      <c r="A17" s="3" t="s">
        <v>13</v>
      </c>
      <c r="B17" s="4">
        <v>10599717.888582859</v>
      </c>
      <c r="C17" s="4">
        <v>17429473.704492249</v>
      </c>
      <c r="D17" s="4">
        <v>107.1145070292693</v>
      </c>
    </row>
    <row r="18" spans="1:4" x14ac:dyDescent="0.35">
      <c r="A18" s="5">
        <v>7</v>
      </c>
      <c r="B18" s="4">
        <v>4209951.8657601597</v>
      </c>
      <c r="C18" s="4">
        <v>12332547.5967019</v>
      </c>
      <c r="D18" s="4">
        <v>65.558317309947</v>
      </c>
    </row>
    <row r="19" spans="1:4" x14ac:dyDescent="0.35">
      <c r="A19" s="5">
        <v>16</v>
      </c>
      <c r="B19" s="4">
        <v>6389766.0228227004</v>
      </c>
      <c r="C19" s="4">
        <v>5096926.10779035</v>
      </c>
      <c r="D19" s="4">
        <v>41.556189719322298</v>
      </c>
    </row>
    <row r="20" spans="1:4" x14ac:dyDescent="0.35">
      <c r="A20" s="3" t="s">
        <v>14</v>
      </c>
      <c r="B20" s="4">
        <v>8493420.4783362802</v>
      </c>
      <c r="C20" s="4">
        <v>12126635.930952352</v>
      </c>
      <c r="D20" s="4">
        <v>109.02901041422641</v>
      </c>
    </row>
    <row r="21" spans="1:4" x14ac:dyDescent="0.35">
      <c r="A21" s="5">
        <v>7</v>
      </c>
      <c r="B21" s="4">
        <v>2327736.37841747</v>
      </c>
      <c r="C21" s="4">
        <v>6671785.6212932104</v>
      </c>
      <c r="D21" s="4">
        <v>65.149035148173695</v>
      </c>
    </row>
    <row r="22" spans="1:4" x14ac:dyDescent="0.35">
      <c r="A22" s="5">
        <v>16</v>
      </c>
      <c r="B22" s="4">
        <v>6165684.0999188097</v>
      </c>
      <c r="C22" s="4">
        <v>5454850.3096591402</v>
      </c>
      <c r="D22" s="4">
        <v>43.879975266052703</v>
      </c>
    </row>
    <row r="23" spans="1:4" x14ac:dyDescent="0.35">
      <c r="A23" s="3" t="s">
        <v>16</v>
      </c>
      <c r="B23" s="4">
        <v>25469967.643045709</v>
      </c>
      <c r="C23" s="4">
        <v>36625731.371194459</v>
      </c>
      <c r="D23" s="4">
        <v>295.756735549089</v>
      </c>
    </row>
  </sheetData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C19" sqref="C19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38</v>
      </c>
      <c r="C2">
        <v>996025.91291769105</v>
      </c>
      <c r="D2">
        <v>43.658159319412199</v>
      </c>
      <c r="E2">
        <v>640050.30985100497</v>
      </c>
      <c r="F2">
        <v>28.054911059551401</v>
      </c>
      <c r="G2">
        <v>5000</v>
      </c>
      <c r="H2">
        <v>2</v>
      </c>
    </row>
    <row r="3" spans="1:8" x14ac:dyDescent="0.35">
      <c r="A3" t="s">
        <v>8</v>
      </c>
      <c r="B3">
        <v>47</v>
      </c>
      <c r="C3">
        <v>6200762.6856379705</v>
      </c>
      <c r="D3">
        <v>49.799701046337802</v>
      </c>
      <c r="E3">
        <v>2030565.5210802699</v>
      </c>
      <c r="F3">
        <v>16.307922272047801</v>
      </c>
      <c r="G3">
        <v>8000</v>
      </c>
      <c r="H3">
        <v>3</v>
      </c>
    </row>
    <row r="4" spans="1:8" x14ac:dyDescent="0.35">
      <c r="A4" t="s">
        <v>9</v>
      </c>
      <c r="B4">
        <v>38</v>
      </c>
      <c r="C4">
        <v>4142967.5445035701</v>
      </c>
      <c r="D4">
        <v>51.539214619819397</v>
      </c>
      <c r="E4">
        <v>2012898.1189208999</v>
      </c>
      <c r="F4">
        <v>25.040791906885701</v>
      </c>
      <c r="G4">
        <v>12000</v>
      </c>
      <c r="H4">
        <v>4</v>
      </c>
    </row>
    <row r="5" spans="1:8" x14ac:dyDescent="0.35">
      <c r="A5" t="s">
        <v>9</v>
      </c>
      <c r="B5">
        <v>47</v>
      </c>
      <c r="C5">
        <v>5402309.3322526095</v>
      </c>
      <c r="D5">
        <v>53.811642565813898</v>
      </c>
      <c r="E5">
        <v>1552982.4663513999</v>
      </c>
      <c r="F5">
        <v>15.469039673711499</v>
      </c>
    </row>
    <row r="6" spans="1:8" x14ac:dyDescent="0.35">
      <c r="A6" t="s">
        <v>10</v>
      </c>
      <c r="B6">
        <v>38</v>
      </c>
      <c r="C6">
        <v>6619518.5836119903</v>
      </c>
      <c r="D6">
        <v>52.3712737127371</v>
      </c>
      <c r="E6">
        <v>4177628.3070223099</v>
      </c>
      <c r="F6">
        <v>33.051907442151297</v>
      </c>
    </row>
    <row r="7" spans="1:8" x14ac:dyDescent="0.35">
      <c r="A7" t="s">
        <v>10</v>
      </c>
      <c r="B7">
        <v>47</v>
      </c>
      <c r="C7">
        <v>7198736.3175382903</v>
      </c>
      <c r="D7">
        <v>52.288765715830699</v>
      </c>
      <c r="E7">
        <v>2958558.1597701199</v>
      </c>
      <c r="F7">
        <v>21.489793159388899</v>
      </c>
    </row>
    <row r="8" spans="1:8" x14ac:dyDescent="0.35">
      <c r="A8" t="s">
        <v>11</v>
      </c>
      <c r="B8">
        <v>38</v>
      </c>
      <c r="C8">
        <v>0</v>
      </c>
      <c r="D8">
        <v>0</v>
      </c>
      <c r="E8">
        <v>17992.009780783501</v>
      </c>
      <c r="F8">
        <v>0.56408359533937502</v>
      </c>
    </row>
    <row r="9" spans="1:8" x14ac:dyDescent="0.35">
      <c r="A9" t="s">
        <v>11</v>
      </c>
      <c r="B9">
        <v>47</v>
      </c>
      <c r="C9">
        <v>7047234.9120241404</v>
      </c>
      <c r="D9">
        <v>46.753759909120099</v>
      </c>
      <c r="E9">
        <v>2779883.2834880799</v>
      </c>
      <c r="F9">
        <v>18.4426937989282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B35_Growth</vt:lpstr>
      <vt:lpstr>B36_Growth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Thornes</cp:lastModifiedBy>
  <dcterms:created xsi:type="dcterms:W3CDTF">2026-06-12T12:23:25Z</dcterms:created>
  <dcterms:modified xsi:type="dcterms:W3CDTF">2026-06-18T15:05:24Z</dcterms:modified>
</cp:coreProperties>
</file>