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Thesis_PC\Schleper Lab FACs\"/>
    </mc:Choice>
  </mc:AlternateContent>
  <xr:revisionPtr revIDLastSave="0" documentId="13_ncr:1_{68390D73-9E89-4633-B95C-80DE857A7F11}" xr6:coauthVersionLast="47" xr6:coauthVersionMax="47" xr10:uidLastSave="{00000000-0000-0000-0000-000000000000}"/>
  <bookViews>
    <workbookView xWindow="-2550" yWindow="10130" windowWidth="19420" windowHeight="10300" activeTab="1" xr2:uid="{00000000-000D-0000-FFFF-FFFF00000000}"/>
  </bookViews>
  <sheets>
    <sheet name="B35" sheetId="1" r:id="rId1"/>
    <sheet name="B3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2" i="2"/>
  <c r="D4" i="1"/>
  <c r="D2" i="1"/>
</calcChain>
</file>

<file path=xl/sharedStrings.xml><?xml version="1.0" encoding="utf-8"?>
<sst xmlns="http://schemas.openxmlformats.org/spreadsheetml/2006/main" count="44" uniqueCount="20">
  <si>
    <t>Culture ID</t>
  </si>
  <si>
    <t>Sample Date</t>
  </si>
  <si>
    <t>Inoculation Date</t>
  </si>
  <si>
    <t>Age (days)</t>
  </si>
  <si>
    <t>Loki mL-1</t>
  </si>
  <si>
    <t>Loki %</t>
  </si>
  <si>
    <t>DSV/Spiro mL-1</t>
  </si>
  <si>
    <t>DSV/Spiro %</t>
  </si>
  <si>
    <t>Batch File</t>
  </si>
  <si>
    <t>HIold</t>
  </si>
  <si>
    <t>Batch_Analysis_B35_data.pdf</t>
  </si>
  <si>
    <t>HInew</t>
  </si>
  <si>
    <t>Izemo mL-1</t>
  </si>
  <si>
    <t>Izemo %</t>
  </si>
  <si>
    <t>Batch_Analysis_B36_data.pdf</t>
  </si>
  <si>
    <t>(+46.1% Halodesulfovibrio, 0.23% Pirellulaceae)</t>
    <phoneticPr fontId="4"/>
  </si>
  <si>
    <t>17.06.2026</t>
    <phoneticPr fontId="4"/>
  </si>
  <si>
    <t>08.05.2026</t>
    <phoneticPr fontId="4"/>
  </si>
  <si>
    <t>Not analyzed yet</t>
    <phoneticPr fontId="4"/>
  </si>
  <si>
    <t>(+40.6% Izemaplamatacea, 15.8% Halodesulfovibrio, 0.02% Pirellulaceae)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</si>
</sst>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&quot;%&quot;"/>
  </numFmts>
  <fonts count="5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Calibri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AFAFA"/>
      </patternFill>
    </fill>
    <fill>
      <patternFill patternType="solid">
        <fgColor rgb="FFE8F0F7"/>
      </patternFill>
    </fill>
    <fill>
      <patternFill patternType="solid">
        <fgColor rgb="FFF5F5F5"/>
      </patternFill>
    </fill>
    <fill>
      <patternFill patternType="solid">
        <fgColor rgb="FFEEE8F4"/>
      </patternFill>
    </fill>
    <fill>
      <patternFill patternType="solid">
        <fgColor rgb="FFD6EAD6"/>
      </patternFill>
    </fill>
    <fill>
      <patternFill patternType="solid">
        <fgColor rgb="FFFDE8D8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A2A3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  <xf numFmtId="164" fontId="2" fillId="5" borderId="0" xfId="0" applyNumberFormat="1" applyFont="1" applyFill="1" applyAlignment="1">
      <alignment horizontal="center"/>
    </xf>
    <xf numFmtId="1" fontId="2" fillId="6" borderId="0" xfId="0" applyNumberFormat="1" applyFont="1" applyFill="1" applyAlignment="1">
      <alignment horizontal="center"/>
    </xf>
    <xf numFmtId="11" fontId="2" fillId="7" borderId="0" xfId="0" applyNumberFormat="1" applyFont="1" applyFill="1"/>
    <xf numFmtId="11" fontId="2" fillId="8" borderId="0" xfId="0" applyNumberFormat="1" applyFont="1" applyFill="1"/>
    <xf numFmtId="165" fontId="2" fillId="7" borderId="0" xfId="0" applyNumberFormat="1" applyFont="1" applyFill="1"/>
    <xf numFmtId="165" fontId="2" fillId="8" borderId="0" xfId="0" applyNumberFormat="1" applyFont="1" applyFill="1"/>
    <xf numFmtId="11" fontId="2" fillId="9" borderId="0" xfId="0" applyNumberFormat="1" applyFont="1" applyFill="1"/>
    <xf numFmtId="165" fontId="2" fillId="9" borderId="0" xfId="0" applyNumberFormat="1" applyFont="1" applyFill="1"/>
    <xf numFmtId="11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showGridLines="0" zoomScale="110" zoomScaleNormal="110" workbookViewId="0">
      <pane ySplit="1" topLeftCell="A2" activePane="bottomLeft" state="frozen"/>
      <selection pane="bottomLeft" activeCell="B10" sqref="B10"/>
    </sheetView>
  </sheetViews>
  <sheetFormatPr defaultColWidth="10.81640625" defaultRowHeight="14.5"/>
  <cols>
    <col min="1" max="3" width="14.6328125" customWidth="1"/>
    <col min="4" max="4" width="11.6328125" customWidth="1"/>
    <col min="5" max="5" width="14.6328125" customWidth="1"/>
    <col min="6" max="6" width="10.6328125" customWidth="1"/>
    <col min="7" max="7" width="16.6328125" customWidth="1"/>
    <col min="8" max="8" width="12.6328125" customWidth="1"/>
    <col min="9" max="9" width="9.1796875" hidden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s="4">
        <v>46218</v>
      </c>
      <c r="C2" s="14">
        <v>46150</v>
      </c>
      <c r="D2" s="5">
        <f>IF(OR(C2="",B2=""),"",B2-C2)</f>
        <v>68</v>
      </c>
      <c r="E2" s="6">
        <v>15514620.5775086</v>
      </c>
      <c r="F2" s="8">
        <v>51.007743270063997</v>
      </c>
      <c r="G2" s="7">
        <v>12070233.666811701</v>
      </c>
      <c r="H2" s="9">
        <v>39.683560226986799</v>
      </c>
      <c r="I2" s="2" t="s">
        <v>10</v>
      </c>
    </row>
    <row r="3" spans="1:9">
      <c r="A3" s="3"/>
      <c r="B3" s="4"/>
      <c r="C3" t="s">
        <v>17</v>
      </c>
      <c r="D3" s="5"/>
      <c r="E3" s="12">
        <v>4008108.125</v>
      </c>
      <c r="F3" s="13">
        <v>0.53700000000000003</v>
      </c>
      <c r="G3" s="7"/>
      <c r="H3" s="9">
        <v>46.1</v>
      </c>
      <c r="I3" s="2"/>
    </row>
    <row r="4" spans="1:9">
      <c r="A4" s="3" t="s">
        <v>11</v>
      </c>
      <c r="B4" s="4">
        <v>46218</v>
      </c>
      <c r="C4" s="14">
        <v>46190</v>
      </c>
      <c r="D4" s="5">
        <f>IF(OR(C4="",B4=""),"",B4-C4)</f>
        <v>28</v>
      </c>
      <c r="E4" s="6">
        <v>2354682.6489388901</v>
      </c>
      <c r="F4" s="8">
        <v>33.636532392797498</v>
      </c>
      <c r="G4" s="7">
        <v>3632084.9910508799</v>
      </c>
      <c r="H4" s="9">
        <v>51.884165583812901</v>
      </c>
      <c r="I4" t="s">
        <v>10</v>
      </c>
    </row>
    <row r="5" spans="1:9">
      <c r="A5" s="3"/>
      <c r="B5" s="4"/>
      <c r="C5" t="s">
        <v>16</v>
      </c>
      <c r="D5" s="5"/>
      <c r="E5" s="12">
        <v>6097441</v>
      </c>
      <c r="F5" s="8"/>
      <c r="G5" s="7"/>
      <c r="H5" s="9"/>
    </row>
    <row r="7" spans="1:9">
      <c r="A7" s="3" t="s">
        <v>9</v>
      </c>
      <c r="C7" t="s">
        <v>17</v>
      </c>
      <c r="D7">
        <v>19</v>
      </c>
      <c r="E7" s="12">
        <v>4008108.125</v>
      </c>
      <c r="F7" s="13">
        <v>0.53700000000000003</v>
      </c>
      <c r="G7" s="13" t="s">
        <v>15</v>
      </c>
    </row>
    <row r="8" spans="1:9">
      <c r="A8" s="3" t="s">
        <v>11</v>
      </c>
      <c r="C8" t="s">
        <v>16</v>
      </c>
      <c r="D8">
        <v>20</v>
      </c>
      <c r="E8" s="12">
        <v>6097441</v>
      </c>
      <c r="F8" t="s">
        <v>18</v>
      </c>
    </row>
  </sheetData>
  <phoneticPr fontId="4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showGridLines="0" tabSelected="1" zoomScale="84" workbookViewId="0">
      <pane ySplit="1" topLeftCell="A2" activePane="bottomLeft" state="frozen"/>
      <selection pane="bottomLeft" activeCell="F18" sqref="F18"/>
    </sheetView>
  </sheetViews>
  <sheetFormatPr defaultColWidth="10.81640625" defaultRowHeight="14.5"/>
  <cols>
    <col min="1" max="3" width="14.6328125" customWidth="1"/>
    <col min="4" max="4" width="11.6328125" customWidth="1"/>
    <col min="5" max="5" width="14.6328125" customWidth="1"/>
    <col min="6" max="6" width="10.6328125" customWidth="1"/>
    <col min="7" max="7" width="16.6328125" customWidth="1"/>
    <col min="8" max="8" width="12.6328125" customWidth="1"/>
    <col min="9" max="9" width="14.6328125" customWidth="1"/>
    <col min="10" max="10" width="10.6328125" customWidth="1"/>
    <col min="11" max="11" width="9.1796875" hidden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13</v>
      </c>
      <c r="K1" s="1" t="s">
        <v>8</v>
      </c>
    </row>
    <row r="2" spans="1:11">
      <c r="A2" s="3" t="s">
        <v>9</v>
      </c>
      <c r="B2" s="4">
        <v>46218</v>
      </c>
      <c r="C2" s="14">
        <v>46150</v>
      </c>
      <c r="D2" s="5">
        <f>IF(OR(C2="",B2=""),"",B2-C2)</f>
        <v>68</v>
      </c>
      <c r="E2" s="6">
        <v>27118063.720012099</v>
      </c>
      <c r="F2" s="8">
        <v>51.412083306467203</v>
      </c>
      <c r="G2" s="7">
        <v>10813555.3518252</v>
      </c>
      <c r="H2" s="9">
        <v>20.500999419691802</v>
      </c>
      <c r="I2" s="10">
        <v>13617699.521531099</v>
      </c>
      <c r="J2" s="11">
        <v>25.817267393126599</v>
      </c>
      <c r="K2" s="2" t="s">
        <v>14</v>
      </c>
    </row>
    <row r="3" spans="1:11">
      <c r="A3" s="3"/>
      <c r="B3" s="4"/>
      <c r="C3" t="s">
        <v>17</v>
      </c>
      <c r="D3" s="5"/>
      <c r="E3" s="12">
        <v>3618924.75</v>
      </c>
      <c r="F3" s="13">
        <v>0.436</v>
      </c>
      <c r="G3" s="7"/>
      <c r="H3" s="9">
        <v>15.8</v>
      </c>
      <c r="I3" s="10"/>
      <c r="J3" s="11">
        <v>40.6</v>
      </c>
      <c r="K3" s="2"/>
    </row>
    <row r="4" spans="1:11">
      <c r="A4" s="3" t="s">
        <v>11</v>
      </c>
      <c r="B4" s="4">
        <v>46218</v>
      </c>
      <c r="C4" s="14">
        <v>46190</v>
      </c>
      <c r="D4" s="5">
        <f>IF(OR(C4="",B4=""),"",B4-C4)</f>
        <v>28</v>
      </c>
      <c r="E4" s="6">
        <v>4105100.7108156499</v>
      </c>
      <c r="F4" s="8">
        <v>42.526363024455897</v>
      </c>
      <c r="G4" s="7">
        <v>4097303.7484019399</v>
      </c>
      <c r="H4" s="9">
        <v>42.445591204846302</v>
      </c>
      <c r="I4" s="10">
        <v>1248813.4799284099</v>
      </c>
      <c r="J4" s="11">
        <v>12.9369531074714</v>
      </c>
      <c r="K4" t="s">
        <v>14</v>
      </c>
    </row>
    <row r="5" spans="1:11">
      <c r="A5" s="3"/>
      <c r="B5" s="4"/>
      <c r="C5" t="s">
        <v>16</v>
      </c>
      <c r="D5" s="5"/>
      <c r="E5" s="12">
        <v>3295334.875</v>
      </c>
      <c r="F5" s="8"/>
      <c r="G5" s="7"/>
      <c r="H5" s="9"/>
      <c r="I5" s="10"/>
      <c r="J5" s="11"/>
    </row>
    <row r="7" spans="1:11">
      <c r="A7" s="3" t="s">
        <v>9</v>
      </c>
      <c r="C7" t="s">
        <v>17</v>
      </c>
      <c r="D7">
        <v>19</v>
      </c>
      <c r="E7" s="12">
        <v>3618924.75</v>
      </c>
      <c r="F7" s="13">
        <v>0.436</v>
      </c>
      <c r="G7" t="s">
        <v>19</v>
      </c>
    </row>
    <row r="8" spans="1:11">
      <c r="A8" s="3" t="s">
        <v>11</v>
      </c>
      <c r="C8" t="s">
        <v>16</v>
      </c>
      <c r="D8">
        <v>20</v>
      </c>
      <c r="E8" s="12">
        <v>3295334.875</v>
      </c>
      <c r="F8" t="s">
        <v>18</v>
      </c>
    </row>
  </sheetData>
  <phoneticPr fontId="4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B35</vt:lpstr>
      <vt:lpstr>B36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Gabriel Thornes</cp:lastModifiedBy>
  <dcterms:created xsi:type="dcterms:W3CDTF">2026-07-17T09:37:09Z</dcterms:created>
  <dcterms:modified xsi:type="dcterms:W3CDTF">2026-07-22T14:11:34Z</dcterms:modified>
</cp:coreProperties>
</file>